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3820"/>
  <bookViews>
    <workbookView xWindow="750" yWindow="1200" windowWidth="14640" windowHeight="6225" tabRatio="620" activeTab="3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Sprint!$C$3:$CE$62</definedName>
    <definedName name="Burndown" localSheetId="1">Sprint!$J$4:$CD$63</definedName>
    <definedName name="Burndown">Sprint!$J$4:$CD$63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Sprint!$CE$4:$CE$63</definedName>
    <definedName name="TotalEffort">Sprint!$CE$4:$CE$63</definedName>
    <definedName name="Worktype">'Project Specific Reports'!$A$2:$A$5</definedName>
  </definedNames>
  <calcPr calcId="125725"/>
</workbook>
</file>

<file path=xl/calcChain.xml><?xml version="1.0" encoding="utf-8"?>
<calcChain xmlns="http://schemas.openxmlformats.org/spreadsheetml/2006/main">
  <c r="BA11" i="7"/>
  <c r="BD11" s="1"/>
  <c r="BG11" s="1"/>
  <c r="BJ11" s="1"/>
  <c r="BM11" s="1"/>
  <c r="BP11" s="1"/>
  <c r="BS11" s="1"/>
  <c r="BV11" s="1"/>
  <c r="BY11" s="1"/>
  <c r="CB11" s="1"/>
  <c r="K11"/>
  <c r="L11" s="1"/>
  <c r="G1"/>
  <c r="N11" l="1"/>
  <c r="Q11" s="1"/>
  <c r="T11" s="1"/>
  <c r="W11" s="1"/>
  <c r="Z11" s="1"/>
  <c r="AC11" s="1"/>
  <c r="AF11" s="1"/>
  <c r="AI11" s="1"/>
  <c r="AL11" s="1"/>
  <c r="AO11" s="1"/>
  <c r="AR11" s="1"/>
  <c r="AU11" s="1"/>
  <c r="AX11" s="1"/>
  <c r="G25" i="6"/>
  <c r="G24"/>
  <c r="G23"/>
  <c r="G22"/>
  <c r="G21"/>
  <c r="G20"/>
  <c r="G19"/>
  <c r="G18"/>
  <c r="G17"/>
  <c r="G16"/>
  <c r="G15"/>
  <c r="G14"/>
  <c r="G13"/>
  <c r="G12"/>
  <c r="G11"/>
  <c r="G10"/>
  <c r="G9"/>
  <c r="BA61" i="7"/>
  <c r="BD61" s="1"/>
  <c r="BG61" s="1"/>
  <c r="BJ61" s="1"/>
  <c r="BM61" s="1"/>
  <c r="BP61" s="1"/>
  <c r="BS61" s="1"/>
  <c r="BV61" s="1"/>
  <c r="BY61" s="1"/>
  <c r="CB61" s="1"/>
  <c r="K61"/>
  <c r="L61" s="1"/>
  <c r="BA60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K47"/>
  <c r="L47" s="1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K39"/>
  <c r="L39" s="1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K31"/>
  <c r="L31" s="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BA25"/>
  <c r="BD25" s="1"/>
  <c r="BG25" s="1"/>
  <c r="BJ25" s="1"/>
  <c r="BM25" s="1"/>
  <c r="BP25" s="1"/>
  <c r="BS25" s="1"/>
  <c r="BV25" s="1"/>
  <c r="BY25" s="1"/>
  <c r="CB25" s="1"/>
  <c r="K25"/>
  <c r="L25" s="1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L23"/>
  <c r="K23"/>
  <c r="BA22"/>
  <c r="BD22" s="1"/>
  <c r="BG22" s="1"/>
  <c r="BJ22" s="1"/>
  <c r="BM22" s="1"/>
  <c r="BP22" s="1"/>
  <c r="BS22" s="1"/>
  <c r="BV22" s="1"/>
  <c r="BY22" s="1"/>
  <c r="CB22" s="1"/>
  <c r="K22"/>
  <c r="L22" s="1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K14"/>
  <c r="L14" s="1"/>
  <c r="BA13"/>
  <c r="BD13" s="1"/>
  <c r="BG13" s="1"/>
  <c r="BJ13" s="1"/>
  <c r="BM13" s="1"/>
  <c r="BP13" s="1"/>
  <c r="BS13" s="1"/>
  <c r="BV13" s="1"/>
  <c r="BY13" s="1"/>
  <c r="CB13" s="1"/>
  <c r="K13"/>
  <c r="BA12"/>
  <c r="BD12" s="1"/>
  <c r="BG12" s="1"/>
  <c r="BJ12" s="1"/>
  <c r="BM12" s="1"/>
  <c r="BP12" s="1"/>
  <c r="BS12" s="1"/>
  <c r="BV12" s="1"/>
  <c r="BY12" s="1"/>
  <c r="CB12" s="1"/>
  <c r="K12"/>
  <c r="L12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K7"/>
  <c r="L7" s="1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K5"/>
  <c r="L5" s="1"/>
  <c r="BA62"/>
  <c r="BD62" s="1"/>
  <c r="BG62" s="1"/>
  <c r="BJ62" s="1"/>
  <c r="BM62" s="1"/>
  <c r="BP62" s="1"/>
  <c r="BS62" s="1"/>
  <c r="BV62" s="1"/>
  <c r="BY62" s="1"/>
  <c r="CB62" s="1"/>
  <c r="K62"/>
  <c r="L62" s="1"/>
  <c r="O11" l="1"/>
  <c r="R11" s="1"/>
  <c r="L13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T7" s="1"/>
  <c r="W7" s="1"/>
  <c r="Z7" s="1"/>
  <c r="AC7" s="1"/>
  <c r="AF7" s="1"/>
  <c r="AI7" s="1"/>
  <c r="AL7" s="1"/>
  <c r="AO7" s="1"/>
  <c r="AR7" s="1"/>
  <c r="AU7" s="1"/>
  <c r="AX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N13"/>
  <c r="Q13" s="1"/>
  <c r="T13" s="1"/>
  <c r="W13" s="1"/>
  <c r="Z13" s="1"/>
  <c r="AC13" s="1"/>
  <c r="AF13" s="1"/>
  <c r="AI13" s="1"/>
  <c r="AL13" s="1"/>
  <c r="AO13" s="1"/>
  <c r="AR13" s="1"/>
  <c r="AU13" s="1"/>
  <c r="AX13" s="1"/>
  <c r="L26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14"/>
  <c r="N15"/>
  <c r="Q15" s="1"/>
  <c r="T15" s="1"/>
  <c r="W15" s="1"/>
  <c r="Z15" s="1"/>
  <c r="AC15" s="1"/>
  <c r="AF15" s="1"/>
  <c r="AI15" s="1"/>
  <c r="AL15" s="1"/>
  <c r="AO15" s="1"/>
  <c r="AR15" s="1"/>
  <c r="AU15" s="1"/>
  <c r="AX15" s="1"/>
  <c r="N16"/>
  <c r="N17"/>
  <c r="Q17" s="1"/>
  <c r="T17" s="1"/>
  <c r="W17" s="1"/>
  <c r="Z17" s="1"/>
  <c r="AC17" s="1"/>
  <c r="AF17" s="1"/>
  <c r="AI17" s="1"/>
  <c r="AL17" s="1"/>
  <c r="AO17" s="1"/>
  <c r="AR17" s="1"/>
  <c r="AU17" s="1"/>
  <c r="AX17" s="1"/>
  <c r="N18"/>
  <c r="N19"/>
  <c r="Q19" s="1"/>
  <c r="T19" s="1"/>
  <c r="W19" s="1"/>
  <c r="Z19" s="1"/>
  <c r="AC19" s="1"/>
  <c r="AF19" s="1"/>
  <c r="AI19" s="1"/>
  <c r="AL19" s="1"/>
  <c r="AO19" s="1"/>
  <c r="AR19" s="1"/>
  <c r="AU19" s="1"/>
  <c r="AX19" s="1"/>
  <c r="N20"/>
  <c r="N21"/>
  <c r="Q21" s="1"/>
  <c r="T21" s="1"/>
  <c r="W21" s="1"/>
  <c r="Z21" s="1"/>
  <c r="AC21" s="1"/>
  <c r="AF21" s="1"/>
  <c r="AI21" s="1"/>
  <c r="AL21" s="1"/>
  <c r="AO21" s="1"/>
  <c r="AR21" s="1"/>
  <c r="AU21" s="1"/>
  <c r="AX21" s="1"/>
  <c r="N22"/>
  <c r="N23"/>
  <c r="Q23" s="1"/>
  <c r="T23" s="1"/>
  <c r="W23" s="1"/>
  <c r="Z23" s="1"/>
  <c r="AC23" s="1"/>
  <c r="AF23" s="1"/>
  <c r="AI23" s="1"/>
  <c r="AL23" s="1"/>
  <c r="AO23" s="1"/>
  <c r="AR23" s="1"/>
  <c r="AU23" s="1"/>
  <c r="AX23" s="1"/>
  <c r="N24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27"/>
  <c r="Q27" s="1"/>
  <c r="T27" s="1"/>
  <c r="W27" s="1"/>
  <c r="Z27" s="1"/>
  <c r="AC27" s="1"/>
  <c r="AF27" s="1"/>
  <c r="AI27" s="1"/>
  <c r="AL27" s="1"/>
  <c r="AO27" s="1"/>
  <c r="AR27" s="1"/>
  <c r="AU27" s="1"/>
  <c r="AX27" s="1"/>
  <c r="N28"/>
  <c r="N29"/>
  <c r="Q29" s="1"/>
  <c r="T29" s="1"/>
  <c r="W29" s="1"/>
  <c r="Z29" s="1"/>
  <c r="AC29" s="1"/>
  <c r="AF29" s="1"/>
  <c r="AI29" s="1"/>
  <c r="AL29" s="1"/>
  <c r="AO29" s="1"/>
  <c r="AR29" s="1"/>
  <c r="AU29" s="1"/>
  <c r="AX29" s="1"/>
  <c r="N30"/>
  <c r="N31"/>
  <c r="Q31" s="1"/>
  <c r="T31" s="1"/>
  <c r="W31" s="1"/>
  <c r="Z31" s="1"/>
  <c r="AC31" s="1"/>
  <c r="AF31" s="1"/>
  <c r="AI31" s="1"/>
  <c r="AL31" s="1"/>
  <c r="AO31" s="1"/>
  <c r="AR31" s="1"/>
  <c r="AU31" s="1"/>
  <c r="AX31" s="1"/>
  <c r="N32"/>
  <c r="N33"/>
  <c r="Q33" s="1"/>
  <c r="T33" s="1"/>
  <c r="W33" s="1"/>
  <c r="Z33" s="1"/>
  <c r="AC33" s="1"/>
  <c r="AF33" s="1"/>
  <c r="AI33" s="1"/>
  <c r="AL33" s="1"/>
  <c r="AO33" s="1"/>
  <c r="AR33" s="1"/>
  <c r="AU33" s="1"/>
  <c r="AX33" s="1"/>
  <c r="N34"/>
  <c r="N35"/>
  <c r="Q35" s="1"/>
  <c r="T35" s="1"/>
  <c r="W35" s="1"/>
  <c r="Z35" s="1"/>
  <c r="AC35" s="1"/>
  <c r="AF35" s="1"/>
  <c r="AI35" s="1"/>
  <c r="AL35" s="1"/>
  <c r="AO35" s="1"/>
  <c r="AR35" s="1"/>
  <c r="AU35" s="1"/>
  <c r="AX35" s="1"/>
  <c r="N36"/>
  <c r="N37"/>
  <c r="Q37" s="1"/>
  <c r="T37" s="1"/>
  <c r="W37" s="1"/>
  <c r="Z37" s="1"/>
  <c r="AC37" s="1"/>
  <c r="AF37" s="1"/>
  <c r="AI37" s="1"/>
  <c r="AL37" s="1"/>
  <c r="AO37" s="1"/>
  <c r="AR37" s="1"/>
  <c r="AU37" s="1"/>
  <c r="AX37" s="1"/>
  <c r="N38"/>
  <c r="N39"/>
  <c r="Q39" s="1"/>
  <c r="T39" s="1"/>
  <c r="W39" s="1"/>
  <c r="Z39" s="1"/>
  <c r="AC39" s="1"/>
  <c r="AF39" s="1"/>
  <c r="AI39" s="1"/>
  <c r="AL39" s="1"/>
  <c r="AO39" s="1"/>
  <c r="AR39" s="1"/>
  <c r="AU39" s="1"/>
  <c r="AX39" s="1"/>
  <c r="N40"/>
  <c r="N41"/>
  <c r="Q41" s="1"/>
  <c r="T41" s="1"/>
  <c r="W41" s="1"/>
  <c r="Z41" s="1"/>
  <c r="AC41" s="1"/>
  <c r="AF41" s="1"/>
  <c r="AI41" s="1"/>
  <c r="AL41" s="1"/>
  <c r="AO41" s="1"/>
  <c r="AR41" s="1"/>
  <c r="AU41" s="1"/>
  <c r="AX41" s="1"/>
  <c r="N42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N45"/>
  <c r="Q45" s="1"/>
  <c r="T45" s="1"/>
  <c r="W45" s="1"/>
  <c r="Z45" s="1"/>
  <c r="AC45" s="1"/>
  <c r="AF45" s="1"/>
  <c r="AI45" s="1"/>
  <c r="AL45" s="1"/>
  <c r="AO45" s="1"/>
  <c r="AR45" s="1"/>
  <c r="AU45" s="1"/>
  <c r="AX45" s="1"/>
  <c r="O44"/>
  <c r="R44"/>
  <c r="U44" s="1"/>
  <c r="N46"/>
  <c r="N47"/>
  <c r="Q47" s="1"/>
  <c r="T47" s="1"/>
  <c r="W47" s="1"/>
  <c r="Z47" s="1"/>
  <c r="AC47" s="1"/>
  <c r="AF47" s="1"/>
  <c r="AI47" s="1"/>
  <c r="AL47" s="1"/>
  <c r="AO47" s="1"/>
  <c r="AR47" s="1"/>
  <c r="AU47" s="1"/>
  <c r="AX47" s="1"/>
  <c r="N48"/>
  <c r="N49"/>
  <c r="Q49" s="1"/>
  <c r="T49" s="1"/>
  <c r="W49" s="1"/>
  <c r="Z49" s="1"/>
  <c r="AC49" s="1"/>
  <c r="AF49" s="1"/>
  <c r="AI49" s="1"/>
  <c r="AL49" s="1"/>
  <c r="AO49" s="1"/>
  <c r="AR49" s="1"/>
  <c r="AU49" s="1"/>
  <c r="AX49" s="1"/>
  <c r="N50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Q61" s="1"/>
  <c r="T61" s="1"/>
  <c r="W61" s="1"/>
  <c r="Z61" s="1"/>
  <c r="AC61" s="1"/>
  <c r="AF61" s="1"/>
  <c r="AI61" s="1"/>
  <c r="AL61" s="1"/>
  <c r="AO61" s="1"/>
  <c r="AR61" s="1"/>
  <c r="AU61" s="1"/>
  <c r="AX61" s="1"/>
  <c r="N62"/>
  <c r="O26" l="1"/>
  <c r="U11"/>
  <c r="G11" s="1"/>
  <c r="X11"/>
  <c r="O61"/>
  <c r="R61" s="1"/>
  <c r="O45"/>
  <c r="R45" s="1"/>
  <c r="U45" s="1"/>
  <c r="G45" s="1"/>
  <c r="X45"/>
  <c r="G44"/>
  <c r="X44"/>
  <c r="Q48"/>
  <c r="T48" s="1"/>
  <c r="W48" s="1"/>
  <c r="Z48" s="1"/>
  <c r="AC48" s="1"/>
  <c r="AF48" s="1"/>
  <c r="AI48" s="1"/>
  <c r="AL48" s="1"/>
  <c r="AO48" s="1"/>
  <c r="AR48" s="1"/>
  <c r="AU48" s="1"/>
  <c r="AX48" s="1"/>
  <c r="O48"/>
  <c r="R48" s="1"/>
  <c r="Q46"/>
  <c r="T46" s="1"/>
  <c r="W46" s="1"/>
  <c r="Z46" s="1"/>
  <c r="AC46" s="1"/>
  <c r="AF46" s="1"/>
  <c r="AI46" s="1"/>
  <c r="AL46" s="1"/>
  <c r="AO46" s="1"/>
  <c r="AR46" s="1"/>
  <c r="AU46" s="1"/>
  <c r="AX46" s="1"/>
  <c r="O46"/>
  <c r="Q42"/>
  <c r="T42" s="1"/>
  <c r="W42" s="1"/>
  <c r="Z42" s="1"/>
  <c r="AC42" s="1"/>
  <c r="AF42" s="1"/>
  <c r="AI42" s="1"/>
  <c r="AL42" s="1"/>
  <c r="AO42" s="1"/>
  <c r="AR42" s="1"/>
  <c r="AU42" s="1"/>
  <c r="AX42" s="1"/>
  <c r="O42"/>
  <c r="Q40"/>
  <c r="T40" s="1"/>
  <c r="W40" s="1"/>
  <c r="Z40" s="1"/>
  <c r="AC40" s="1"/>
  <c r="AF40" s="1"/>
  <c r="AI40" s="1"/>
  <c r="AL40" s="1"/>
  <c r="AO40" s="1"/>
  <c r="AR40" s="1"/>
  <c r="AU40" s="1"/>
  <c r="AX40" s="1"/>
  <c r="O40"/>
  <c r="Q38"/>
  <c r="T38" s="1"/>
  <c r="W38" s="1"/>
  <c r="Z38" s="1"/>
  <c r="AC38" s="1"/>
  <c r="AF38" s="1"/>
  <c r="AI38" s="1"/>
  <c r="AL38" s="1"/>
  <c r="AO38" s="1"/>
  <c r="AR38" s="1"/>
  <c r="AU38" s="1"/>
  <c r="AX38" s="1"/>
  <c r="O38"/>
  <c r="R38" s="1"/>
  <c r="Q36"/>
  <c r="T36" s="1"/>
  <c r="W36" s="1"/>
  <c r="Z36" s="1"/>
  <c r="AC36" s="1"/>
  <c r="AF36" s="1"/>
  <c r="AI36" s="1"/>
  <c r="AL36" s="1"/>
  <c r="AO36" s="1"/>
  <c r="AR36" s="1"/>
  <c r="AU36" s="1"/>
  <c r="AX36" s="1"/>
  <c r="O36"/>
  <c r="Q34"/>
  <c r="T34" s="1"/>
  <c r="W34" s="1"/>
  <c r="Z34" s="1"/>
  <c r="AC34" s="1"/>
  <c r="AF34" s="1"/>
  <c r="AI34" s="1"/>
  <c r="AL34" s="1"/>
  <c r="AO34" s="1"/>
  <c r="AR34" s="1"/>
  <c r="AU34" s="1"/>
  <c r="AX34" s="1"/>
  <c r="O34"/>
  <c r="Q32"/>
  <c r="T32" s="1"/>
  <c r="W32" s="1"/>
  <c r="Z32" s="1"/>
  <c r="AC32" s="1"/>
  <c r="AF32" s="1"/>
  <c r="AI32" s="1"/>
  <c r="AL32" s="1"/>
  <c r="AO32" s="1"/>
  <c r="AR32" s="1"/>
  <c r="AU32" s="1"/>
  <c r="AX32" s="1"/>
  <c r="O32"/>
  <c r="Q30"/>
  <c r="T30" s="1"/>
  <c r="W30" s="1"/>
  <c r="Z30" s="1"/>
  <c r="AC30" s="1"/>
  <c r="AF30" s="1"/>
  <c r="AI30" s="1"/>
  <c r="AL30" s="1"/>
  <c r="AO30" s="1"/>
  <c r="AR30" s="1"/>
  <c r="AU30" s="1"/>
  <c r="AX30" s="1"/>
  <c r="O30"/>
  <c r="R30" s="1"/>
  <c r="Q28"/>
  <c r="T28" s="1"/>
  <c r="W28" s="1"/>
  <c r="Z28" s="1"/>
  <c r="AC28" s="1"/>
  <c r="AF28" s="1"/>
  <c r="AI28" s="1"/>
  <c r="AL28" s="1"/>
  <c r="AO28" s="1"/>
  <c r="AR28" s="1"/>
  <c r="AU28" s="1"/>
  <c r="AX28" s="1"/>
  <c r="O28"/>
  <c r="Q24"/>
  <c r="T24" s="1"/>
  <c r="W24" s="1"/>
  <c r="Z24" s="1"/>
  <c r="AC24" s="1"/>
  <c r="AF24" s="1"/>
  <c r="AI24" s="1"/>
  <c r="AL24" s="1"/>
  <c r="AO24" s="1"/>
  <c r="AR24" s="1"/>
  <c r="AU24" s="1"/>
  <c r="AX24" s="1"/>
  <c r="O24"/>
  <c r="Q22"/>
  <c r="T22" s="1"/>
  <c r="W22" s="1"/>
  <c r="Z22" s="1"/>
  <c r="AC22" s="1"/>
  <c r="AF22" s="1"/>
  <c r="AI22" s="1"/>
  <c r="AL22" s="1"/>
  <c r="AO22" s="1"/>
  <c r="AR22" s="1"/>
  <c r="AU22" s="1"/>
  <c r="AX22" s="1"/>
  <c r="O22"/>
  <c r="Q20"/>
  <c r="T20" s="1"/>
  <c r="W20" s="1"/>
  <c r="Z20" s="1"/>
  <c r="AC20" s="1"/>
  <c r="AF20" s="1"/>
  <c r="AI20" s="1"/>
  <c r="AL20" s="1"/>
  <c r="AO20" s="1"/>
  <c r="AR20" s="1"/>
  <c r="AU20" s="1"/>
  <c r="AX20" s="1"/>
  <c r="O20"/>
  <c r="R20" s="1"/>
  <c r="Q18"/>
  <c r="T18" s="1"/>
  <c r="W18" s="1"/>
  <c r="Z18" s="1"/>
  <c r="AC18" s="1"/>
  <c r="AF18" s="1"/>
  <c r="AI18" s="1"/>
  <c r="AL18" s="1"/>
  <c r="AO18" s="1"/>
  <c r="AR18" s="1"/>
  <c r="AU18" s="1"/>
  <c r="AX18" s="1"/>
  <c r="O18"/>
  <c r="Q16"/>
  <c r="T16" s="1"/>
  <c r="W16" s="1"/>
  <c r="Z16" s="1"/>
  <c r="AC16" s="1"/>
  <c r="AF16" s="1"/>
  <c r="AI16" s="1"/>
  <c r="AL16" s="1"/>
  <c r="AO16" s="1"/>
  <c r="AR16" s="1"/>
  <c r="AU16" s="1"/>
  <c r="AX16" s="1"/>
  <c r="O16"/>
  <c r="Q14"/>
  <c r="T14" s="1"/>
  <c r="W14" s="1"/>
  <c r="Z14" s="1"/>
  <c r="AC14" s="1"/>
  <c r="AF14" s="1"/>
  <c r="AI14" s="1"/>
  <c r="AL14" s="1"/>
  <c r="AO14" s="1"/>
  <c r="AR14" s="1"/>
  <c r="AU14" s="1"/>
  <c r="AX14" s="1"/>
  <c r="O14"/>
  <c r="R14" s="1"/>
  <c r="O60"/>
  <c r="O58"/>
  <c r="O56"/>
  <c r="O54"/>
  <c r="O52"/>
  <c r="O59"/>
  <c r="O57"/>
  <c r="R57" s="1"/>
  <c r="U57" s="1"/>
  <c r="G57" s="1"/>
  <c r="R56"/>
  <c r="U56" s="1"/>
  <c r="G56" s="1"/>
  <c r="O55"/>
  <c r="R54"/>
  <c r="O53"/>
  <c r="R52"/>
  <c r="U52" s="1"/>
  <c r="G52" s="1"/>
  <c r="O51"/>
  <c r="R51" s="1"/>
  <c r="AA45"/>
  <c r="AA44"/>
  <c r="O49"/>
  <c r="R49" s="1"/>
  <c r="O47"/>
  <c r="O43"/>
  <c r="R42"/>
  <c r="O41"/>
  <c r="R40"/>
  <c r="O39"/>
  <c r="O37"/>
  <c r="O35"/>
  <c r="R34"/>
  <c r="O33"/>
  <c r="R32"/>
  <c r="O31"/>
  <c r="O29"/>
  <c r="O27"/>
  <c r="O25"/>
  <c r="O7"/>
  <c r="R7" s="1"/>
  <c r="U7" s="1"/>
  <c r="G7" s="1"/>
  <c r="O5"/>
  <c r="R24"/>
  <c r="O23"/>
  <c r="O19"/>
  <c r="R19" s="1"/>
  <c r="U19" s="1"/>
  <c r="G19" s="1"/>
  <c r="R16"/>
  <c r="U16" s="1"/>
  <c r="O15"/>
  <c r="R15" s="1"/>
  <c r="O13"/>
  <c r="R13" s="1"/>
  <c r="O10"/>
  <c r="R10" s="1"/>
  <c r="O9"/>
  <c r="R9" s="1"/>
  <c r="O8"/>
  <c r="Q50"/>
  <c r="T50" s="1"/>
  <c r="W50" s="1"/>
  <c r="Z50" s="1"/>
  <c r="AC50" s="1"/>
  <c r="AF50" s="1"/>
  <c r="AI50" s="1"/>
  <c r="AL50" s="1"/>
  <c r="AO50" s="1"/>
  <c r="AR50" s="1"/>
  <c r="AU50" s="1"/>
  <c r="AX50" s="1"/>
  <c r="O50"/>
  <c r="R55"/>
  <c r="R53"/>
  <c r="U53" s="1"/>
  <c r="G53" s="1"/>
  <c r="R47"/>
  <c r="U47" s="1"/>
  <c r="G47" s="1"/>
  <c r="R29"/>
  <c r="U29" s="1"/>
  <c r="G29" s="1"/>
  <c r="R26"/>
  <c r="R25"/>
  <c r="R23"/>
  <c r="U23" s="1"/>
  <c r="G23" s="1"/>
  <c r="O6"/>
  <c r="R22"/>
  <c r="O21"/>
  <c r="R18"/>
  <c r="O17"/>
  <c r="O12"/>
  <c r="R8"/>
  <c r="U8" s="1"/>
  <c r="G8" s="1"/>
  <c r="Q62"/>
  <c r="T62" s="1"/>
  <c r="W62" s="1"/>
  <c r="Z62" s="1"/>
  <c r="AC62" s="1"/>
  <c r="AF62" s="1"/>
  <c r="AI62" s="1"/>
  <c r="AL62" s="1"/>
  <c r="AO62" s="1"/>
  <c r="AR62" s="1"/>
  <c r="AU62" s="1"/>
  <c r="AX62" s="1"/>
  <c r="O62"/>
  <c r="U54" l="1"/>
  <c r="U32"/>
  <c r="G32" s="1"/>
  <c r="AA11"/>
  <c r="G54"/>
  <c r="X54"/>
  <c r="U61"/>
  <c r="R60"/>
  <c r="U60" s="1"/>
  <c r="R5"/>
  <c r="U5" s="1"/>
  <c r="G5" s="1"/>
  <c r="X32"/>
  <c r="AA32" s="1"/>
  <c r="R28"/>
  <c r="R36"/>
  <c r="R46"/>
  <c r="U46" s="1"/>
  <c r="R58"/>
  <c r="U15"/>
  <c r="G15" s="1"/>
  <c r="U36"/>
  <c r="AD44"/>
  <c r="AD45"/>
  <c r="AG45" s="1"/>
  <c r="G16"/>
  <c r="X16"/>
  <c r="G46"/>
  <c r="X46"/>
  <c r="G36"/>
  <c r="U26"/>
  <c r="G26" s="1"/>
  <c r="R12"/>
  <c r="U12" s="1"/>
  <c r="G12" s="1"/>
  <c r="U13"/>
  <c r="X8"/>
  <c r="U10"/>
  <c r="R21"/>
  <c r="X23"/>
  <c r="R27"/>
  <c r="U30"/>
  <c r="R35"/>
  <c r="R37"/>
  <c r="R43"/>
  <c r="R50"/>
  <c r="X47"/>
  <c r="U14"/>
  <c r="G14" s="1"/>
  <c r="AA16"/>
  <c r="AD16" s="1"/>
  <c r="AG16" s="1"/>
  <c r="U18"/>
  <c r="U22"/>
  <c r="G22" s="1"/>
  <c r="U38"/>
  <c r="U40"/>
  <c r="U42"/>
  <c r="U48"/>
  <c r="R59"/>
  <c r="G61"/>
  <c r="X61"/>
  <c r="AA61" s="1"/>
  <c r="X10"/>
  <c r="U9"/>
  <c r="X9" s="1"/>
  <c r="AA9" s="1"/>
  <c r="U28"/>
  <c r="R33"/>
  <c r="R39"/>
  <c r="U49"/>
  <c r="U51"/>
  <c r="X52"/>
  <c r="U55"/>
  <c r="X56"/>
  <c r="X7"/>
  <c r="AA7" s="1"/>
  <c r="AA8"/>
  <c r="U21"/>
  <c r="G21" s="1"/>
  <c r="AA23"/>
  <c r="R6"/>
  <c r="R17"/>
  <c r="X19"/>
  <c r="U25"/>
  <c r="X26"/>
  <c r="X29"/>
  <c r="R31"/>
  <c r="U34"/>
  <c r="R41"/>
  <c r="AA47"/>
  <c r="AG44"/>
  <c r="X49"/>
  <c r="X53"/>
  <c r="AA54"/>
  <c r="X57"/>
  <c r="U20"/>
  <c r="U24"/>
  <c r="R62"/>
  <c r="U62" s="1"/>
  <c r="X62" s="1"/>
  <c r="AA62" s="1"/>
  <c r="AA10" l="1"/>
  <c r="AD10" s="1"/>
  <c r="AD11"/>
  <c r="AG11" s="1"/>
  <c r="G60"/>
  <c r="X60"/>
  <c r="X36"/>
  <c r="AA36" s="1"/>
  <c r="AD36" s="1"/>
  <c r="U58"/>
  <c r="AA46"/>
  <c r="AD46" s="1"/>
  <c r="X5"/>
  <c r="AA5" s="1"/>
  <c r="X22"/>
  <c r="AA22" s="1"/>
  <c r="X14"/>
  <c r="AA14" s="1"/>
  <c r="AA60"/>
  <c r="X12"/>
  <c r="X15"/>
  <c r="AA15" s="1"/>
  <c r="AD61"/>
  <c r="AG61" s="1"/>
  <c r="G24"/>
  <c r="X24"/>
  <c r="G20"/>
  <c r="X20"/>
  <c r="AA20" s="1"/>
  <c r="U31"/>
  <c r="G31" s="1"/>
  <c r="G55"/>
  <c r="G49"/>
  <c r="U33"/>
  <c r="G9"/>
  <c r="AD9"/>
  <c r="G48"/>
  <c r="X48"/>
  <c r="G40"/>
  <c r="X40"/>
  <c r="G18"/>
  <c r="AD47"/>
  <c r="AG47" s="1"/>
  <c r="U43"/>
  <c r="U37"/>
  <c r="X37" s="1"/>
  <c r="G30"/>
  <c r="X30"/>
  <c r="U27"/>
  <c r="AD8"/>
  <c r="AA49"/>
  <c r="AD49" s="1"/>
  <c r="AA29"/>
  <c r="U6"/>
  <c r="G6" s="1"/>
  <c r="AD29"/>
  <c r="X21"/>
  <c r="AG8"/>
  <c r="AA21"/>
  <c r="AA56"/>
  <c r="AA52"/>
  <c r="AD52" s="1"/>
  <c r="AA57"/>
  <c r="AA53"/>
  <c r="X33"/>
  <c r="X18"/>
  <c r="AG10"/>
  <c r="AJ10" s="1"/>
  <c r="AJ45"/>
  <c r="AM45" s="1"/>
  <c r="AP45" s="1"/>
  <c r="U41"/>
  <c r="G34"/>
  <c r="X34"/>
  <c r="AA34" s="1"/>
  <c r="G25"/>
  <c r="X25"/>
  <c r="AD7"/>
  <c r="AG7" s="1"/>
  <c r="AJ7" s="1"/>
  <c r="G51"/>
  <c r="U39"/>
  <c r="X39" s="1"/>
  <c r="G28"/>
  <c r="X28"/>
  <c r="AA28" s="1"/>
  <c r="U59"/>
  <c r="G42"/>
  <c r="X42"/>
  <c r="G38"/>
  <c r="X38"/>
  <c r="AA38" s="1"/>
  <c r="U50"/>
  <c r="U35"/>
  <c r="G10"/>
  <c r="G13"/>
  <c r="X13"/>
  <c r="AD32"/>
  <c r="AG29"/>
  <c r="AD23"/>
  <c r="AD22"/>
  <c r="AA12"/>
  <c r="AA24"/>
  <c r="X59"/>
  <c r="X55"/>
  <c r="X51"/>
  <c r="AD56"/>
  <c r="AD54"/>
  <c r="AA19"/>
  <c r="AD19" s="1"/>
  <c r="U17"/>
  <c r="G17" s="1"/>
  <c r="AA26"/>
  <c r="AA40"/>
  <c r="AJ44"/>
  <c r="AJ16"/>
  <c r="AD62"/>
  <c r="AD5" l="1"/>
  <c r="AG5" s="1"/>
  <c r="AJ5" s="1"/>
  <c r="AJ11"/>
  <c r="AG46"/>
  <c r="AJ46" s="1"/>
  <c r="AM46" s="1"/>
  <c r="AD15"/>
  <c r="AG15" s="1"/>
  <c r="AJ15" s="1"/>
  <c r="AG36"/>
  <c r="AJ36" s="1"/>
  <c r="G58"/>
  <c r="X58"/>
  <c r="X31"/>
  <c r="AD60"/>
  <c r="AG60" s="1"/>
  <c r="AJ60" s="1"/>
  <c r="AD14"/>
  <c r="AG14" s="1"/>
  <c r="AJ14" s="1"/>
  <c r="AS45"/>
  <c r="AV45" s="1"/>
  <c r="AY45" s="1"/>
  <c r="AA13"/>
  <c r="G35"/>
  <c r="G50"/>
  <c r="G59"/>
  <c r="G41"/>
  <c r="AG52"/>
  <c r="AD21"/>
  <c r="AJ8"/>
  <c r="G27"/>
  <c r="G37"/>
  <c r="AA37"/>
  <c r="AD37" s="1"/>
  <c r="AG37" s="1"/>
  <c r="AJ47"/>
  <c r="AD40"/>
  <c r="AG40" s="1"/>
  <c r="AJ40" s="1"/>
  <c r="AA48"/>
  <c r="AD48" s="1"/>
  <c r="AD34"/>
  <c r="X35"/>
  <c r="AM7"/>
  <c r="AA25"/>
  <c r="AJ29"/>
  <c r="AG22"/>
  <c r="AG23"/>
  <c r="AD25"/>
  <c r="AD26"/>
  <c r="AG32"/>
  <c r="X41"/>
  <c r="X27"/>
  <c r="X43"/>
  <c r="AG9"/>
  <c r="AG49"/>
  <c r="AJ52"/>
  <c r="X6"/>
  <c r="AA6" s="1"/>
  <c r="AG19"/>
  <c r="AD53"/>
  <c r="AG53" s="1"/>
  <c r="AG54"/>
  <c r="AD20"/>
  <c r="AJ61"/>
  <c r="AD38"/>
  <c r="AD28"/>
  <c r="G39"/>
  <c r="AA39"/>
  <c r="AD39" s="1"/>
  <c r="AA18"/>
  <c r="AG56"/>
  <c r="AJ56" s="1"/>
  <c r="G43"/>
  <c r="AA43"/>
  <c r="AD43" s="1"/>
  <c r="G33"/>
  <c r="AA33"/>
  <c r="AD33" s="1"/>
  <c r="AM44"/>
  <c r="AP44" s="1"/>
  <c r="AD24"/>
  <c r="AM14"/>
  <c r="X50"/>
  <c r="AA59"/>
  <c r="AG24"/>
  <c r="AG26"/>
  <c r="AJ26" s="1"/>
  <c r="AM10"/>
  <c r="AP10" s="1"/>
  <c r="AD12"/>
  <c r="AA51"/>
  <c r="AA55"/>
  <c r="AM16"/>
  <c r="AA31"/>
  <c r="AA41"/>
  <c r="AD41" s="1"/>
  <c r="AA30"/>
  <c r="AD18"/>
  <c r="X17"/>
  <c r="AJ54"/>
  <c r="AM54" s="1"/>
  <c r="AP54" s="1"/>
  <c r="AS54" s="1"/>
  <c r="AV54" s="1"/>
  <c r="AY54" s="1"/>
  <c r="AD57"/>
  <c r="AA42"/>
  <c r="AG62"/>
  <c r="AM11" l="1"/>
  <c r="AP11" s="1"/>
  <c r="AS11" s="1"/>
  <c r="AV11" s="1"/>
  <c r="AY11" s="1"/>
  <c r="AG33"/>
  <c r="AA58"/>
  <c r="AD58" s="1"/>
  <c r="AS10"/>
  <c r="AV10" s="1"/>
  <c r="AY10" s="1"/>
  <c r="AJ33"/>
  <c r="AM40"/>
  <c r="AP40" s="1"/>
  <c r="AS40" s="1"/>
  <c r="AV40" s="1"/>
  <c r="AY40" s="1"/>
  <c r="AM56"/>
  <c r="AP56" s="1"/>
  <c r="AS56" s="1"/>
  <c r="AV56" s="1"/>
  <c r="AY56" s="1"/>
  <c r="BB54"/>
  <c r="BE54" s="1"/>
  <c r="BH54" s="1"/>
  <c r="CE54"/>
  <c r="CE45"/>
  <c r="BE45"/>
  <c r="BB45"/>
  <c r="BW45"/>
  <c r="BZ45" s="1"/>
  <c r="CC45"/>
  <c r="AP46"/>
  <c r="AS46" s="1"/>
  <c r="AV46" s="1"/>
  <c r="AY46" s="1"/>
  <c r="AG18"/>
  <c r="AM36"/>
  <c r="AP36" s="1"/>
  <c r="AJ49"/>
  <c r="AM49" s="1"/>
  <c r="AP49" s="1"/>
  <c r="AS49" s="1"/>
  <c r="AV49" s="1"/>
  <c r="AY49" s="1"/>
  <c r="CE49" s="1"/>
  <c r="AJ9"/>
  <c r="AM9" s="1"/>
  <c r="AP9" s="1"/>
  <c r="AS9" s="1"/>
  <c r="AV9" s="1"/>
  <c r="AY9" s="1"/>
  <c r="CE9" s="1"/>
  <c r="AJ32"/>
  <c r="AM32" s="1"/>
  <c r="AP32" s="1"/>
  <c r="AS32" s="1"/>
  <c r="AV32" s="1"/>
  <c r="AY32" s="1"/>
  <c r="AA17"/>
  <c r="AD17" s="1"/>
  <c r="AG17" s="1"/>
  <c r="AJ17" s="1"/>
  <c r="AM17" s="1"/>
  <c r="AP17" s="1"/>
  <c r="AS17" s="1"/>
  <c r="AP16"/>
  <c r="AS16" s="1"/>
  <c r="AV16" s="1"/>
  <c r="AY16" s="1"/>
  <c r="CE16" s="1"/>
  <c r="AD30"/>
  <c r="AG30" s="1"/>
  <c r="AJ30" s="1"/>
  <c r="AM30" s="1"/>
  <c r="AP30" s="1"/>
  <c r="AS30" s="1"/>
  <c r="AV30" s="1"/>
  <c r="AY30" s="1"/>
  <c r="AD51"/>
  <c r="AJ24"/>
  <c r="AG57"/>
  <c r="AJ57" s="1"/>
  <c r="AM57" s="1"/>
  <c r="AP57" s="1"/>
  <c r="AS57" s="1"/>
  <c r="AV57" s="1"/>
  <c r="AY57" s="1"/>
  <c r="CC54"/>
  <c r="AG41"/>
  <c r="AJ41"/>
  <c r="AM41" s="1"/>
  <c r="AP41" s="1"/>
  <c r="AG51"/>
  <c r="AJ51" s="1"/>
  <c r="AM51" s="1"/>
  <c r="AP51" s="1"/>
  <c r="AS51" s="1"/>
  <c r="AV51" s="1"/>
  <c r="AY51" s="1"/>
  <c r="AG39"/>
  <c r="AJ19"/>
  <c r="AD55"/>
  <c r="AS44"/>
  <c r="AP7"/>
  <c r="AS7" s="1"/>
  <c r="AV7" s="1"/>
  <c r="AY7" s="1"/>
  <c r="CE7" s="1"/>
  <c r="AD31"/>
  <c r="AM33"/>
  <c r="AP33" s="1"/>
  <c r="AS33" s="1"/>
  <c r="AV33" s="1"/>
  <c r="AY33" s="1"/>
  <c r="AM61"/>
  <c r="AG20"/>
  <c r="AJ53"/>
  <c r="AM53" s="1"/>
  <c r="AP53" s="1"/>
  <c r="AS53" s="1"/>
  <c r="AV53" s="1"/>
  <c r="AY53" s="1"/>
  <c r="AD6"/>
  <c r="AG6" s="1"/>
  <c r="AJ6" s="1"/>
  <c r="AM6" s="1"/>
  <c r="AP6" s="1"/>
  <c r="AS6" s="1"/>
  <c r="AV6" s="1"/>
  <c r="AY6" s="1"/>
  <c r="AM29"/>
  <c r="AP29" s="1"/>
  <c r="AG34"/>
  <c r="AG48"/>
  <c r="AM47"/>
  <c r="AM8"/>
  <c r="AP8" s="1"/>
  <c r="AS8" s="1"/>
  <c r="AV8" s="1"/>
  <c r="AY8" s="1"/>
  <c r="AG21"/>
  <c r="AJ21" s="1"/>
  <c r="AM21" s="1"/>
  <c r="AP21" s="1"/>
  <c r="AS21" s="1"/>
  <c r="AV21" s="1"/>
  <c r="AY21" s="1"/>
  <c r="AM15"/>
  <c r="AP15" s="1"/>
  <c r="AS15" s="1"/>
  <c r="AV15" s="1"/>
  <c r="AY15" s="1"/>
  <c r="AG12"/>
  <c r="AJ12" s="1"/>
  <c r="AM12" s="1"/>
  <c r="AP12" s="1"/>
  <c r="AS12" s="1"/>
  <c r="AV12" s="1"/>
  <c r="AY12" s="1"/>
  <c r="AM5"/>
  <c r="AJ18"/>
  <c r="AD42"/>
  <c r="AG42" s="1"/>
  <c r="AJ42" s="1"/>
  <c r="AM42" s="1"/>
  <c r="AP42" s="1"/>
  <c r="AS42" s="1"/>
  <c r="AG38"/>
  <c r="AJ38" s="1"/>
  <c r="AM38" s="1"/>
  <c r="AP38" s="1"/>
  <c r="BK54"/>
  <c r="BN54" s="1"/>
  <c r="BQ54" s="1"/>
  <c r="BT54" s="1"/>
  <c r="BW54" s="1"/>
  <c r="BZ54" s="1"/>
  <c r="AG55"/>
  <c r="AJ55" s="1"/>
  <c r="AM55" s="1"/>
  <c r="AP55" s="1"/>
  <c r="AS55" s="1"/>
  <c r="AV55" s="1"/>
  <c r="AY55" s="1"/>
  <c r="CE55" s="1"/>
  <c r="AG43"/>
  <c r="AJ22"/>
  <c r="AM26"/>
  <c r="AP26" s="1"/>
  <c r="AS26" s="1"/>
  <c r="AG28"/>
  <c r="AJ37"/>
  <c r="AA27"/>
  <c r="AM52"/>
  <c r="AM60"/>
  <c r="AP60" s="1"/>
  <c r="AS60" s="1"/>
  <c r="AV60" s="1"/>
  <c r="AY60" s="1"/>
  <c r="CE60" s="1"/>
  <c r="BH45"/>
  <c r="BK45" s="1"/>
  <c r="BN45" s="1"/>
  <c r="BQ45" s="1"/>
  <c r="BT45" s="1"/>
  <c r="AG25"/>
  <c r="AJ25" s="1"/>
  <c r="AM25" s="1"/>
  <c r="AP25" s="1"/>
  <c r="AS25" s="1"/>
  <c r="AD59"/>
  <c r="AA50"/>
  <c r="AA35"/>
  <c r="AD35" s="1"/>
  <c r="AD13"/>
  <c r="AJ23"/>
  <c r="AM23" s="1"/>
  <c r="AP23" s="1"/>
  <c r="AS23" s="1"/>
  <c r="AV23" s="1"/>
  <c r="AY23" s="1"/>
  <c r="AV44"/>
  <c r="AY44" s="1"/>
  <c r="AP14"/>
  <c r="AS14" s="1"/>
  <c r="AV14" s="1"/>
  <c r="AY14" s="1"/>
  <c r="AJ62"/>
  <c r="BB11" l="1"/>
  <c r="BE11" s="1"/>
  <c r="BH11" s="1"/>
  <c r="BK11" s="1"/>
  <c r="BN11" s="1"/>
  <c r="BQ11" s="1"/>
  <c r="BT11" s="1"/>
  <c r="BW11" s="1"/>
  <c r="BZ11" s="1"/>
  <c r="CC11" s="1"/>
  <c r="CE11"/>
  <c r="AJ58"/>
  <c r="AM58" s="1"/>
  <c r="AP58" s="1"/>
  <c r="AS58" s="1"/>
  <c r="AV58" s="1"/>
  <c r="AY58" s="1"/>
  <c r="CE58" s="1"/>
  <c r="AG58"/>
  <c r="BT16"/>
  <c r="BW16" s="1"/>
  <c r="BZ16" s="1"/>
  <c r="CC16" s="1"/>
  <c r="AV26"/>
  <c r="BN16"/>
  <c r="BQ16" s="1"/>
  <c r="BB16"/>
  <c r="BE16" s="1"/>
  <c r="BH16" s="1"/>
  <c r="BK16" s="1"/>
  <c r="BB10"/>
  <c r="BE10"/>
  <c r="BH10" s="1"/>
  <c r="CC10"/>
  <c r="AV17"/>
  <c r="AY17" s="1"/>
  <c r="CE10"/>
  <c r="BK10"/>
  <c r="BN10" s="1"/>
  <c r="BQ10" s="1"/>
  <c r="BT10" s="1"/>
  <c r="BW10" s="1"/>
  <c r="BZ10" s="1"/>
  <c r="AS36"/>
  <c r="AV36" s="1"/>
  <c r="AY36" s="1"/>
  <c r="AS29"/>
  <c r="AV29" s="1"/>
  <c r="AY29" s="1"/>
  <c r="CE23"/>
  <c r="BB23"/>
  <c r="BE23" s="1"/>
  <c r="BH23" s="1"/>
  <c r="BK23" s="1"/>
  <c r="BN23" s="1"/>
  <c r="BQ23" s="1"/>
  <c r="BT23" s="1"/>
  <c r="BW23" s="1"/>
  <c r="BZ23" s="1"/>
  <c r="CC23" s="1"/>
  <c r="BB17"/>
  <c r="BE17" s="1"/>
  <c r="BH17" s="1"/>
  <c r="BK17" s="1"/>
  <c r="BN17" s="1"/>
  <c r="BQ17" s="1"/>
  <c r="BT17" s="1"/>
  <c r="BW17" s="1"/>
  <c r="BZ17" s="1"/>
  <c r="CC17" s="1"/>
  <c r="BB12"/>
  <c r="BE12" s="1"/>
  <c r="BH12" s="1"/>
  <c r="BK12" s="1"/>
  <c r="BN12" s="1"/>
  <c r="BQ12" s="1"/>
  <c r="BT12" s="1"/>
  <c r="BW12" s="1"/>
  <c r="BZ12" s="1"/>
  <c r="CC12" s="1"/>
  <c r="CE12"/>
  <c r="CE21"/>
  <c r="BB21"/>
  <c r="BE21" s="1"/>
  <c r="BH21" s="1"/>
  <c r="BK21" s="1"/>
  <c r="CE8"/>
  <c r="BB8"/>
  <c r="BE8" s="1"/>
  <c r="BH8" s="1"/>
  <c r="BK8" s="1"/>
  <c r="BN8" s="1"/>
  <c r="BQ8" s="1"/>
  <c r="CE53"/>
  <c r="BB53"/>
  <c r="BE53" s="1"/>
  <c r="BH53" s="1"/>
  <c r="BK53" s="1"/>
  <c r="BN53" s="1"/>
  <c r="BQ53" s="1"/>
  <c r="BT53" s="1"/>
  <c r="BW53" s="1"/>
  <c r="BZ53" s="1"/>
  <c r="CC53" s="1"/>
  <c r="CE36"/>
  <c r="BB36"/>
  <c r="BE36" s="1"/>
  <c r="BH36" s="1"/>
  <c r="BK36" s="1"/>
  <c r="BN36" s="1"/>
  <c r="BQ36" s="1"/>
  <c r="BT36" s="1"/>
  <c r="BW36" s="1"/>
  <c r="BZ36" s="1"/>
  <c r="CC36" s="1"/>
  <c r="CE51"/>
  <c r="BB51"/>
  <c r="BE51" s="1"/>
  <c r="BH51" s="1"/>
  <c r="BK51" s="1"/>
  <c r="BN51" s="1"/>
  <c r="BQ51" s="1"/>
  <c r="BT51" s="1"/>
  <c r="BW51" s="1"/>
  <c r="BZ51" s="1"/>
  <c r="CC51" s="1"/>
  <c r="CE57"/>
  <c r="BB57"/>
  <c r="BE57" s="1"/>
  <c r="BH57" s="1"/>
  <c r="BK57" s="1"/>
  <c r="BN57" s="1"/>
  <c r="BQ57" s="1"/>
  <c r="BT57" s="1"/>
  <c r="BW57" s="1"/>
  <c r="BZ57" s="1"/>
  <c r="CC57" s="1"/>
  <c r="CE32"/>
  <c r="BB32"/>
  <c r="BE32" s="1"/>
  <c r="BH32" s="1"/>
  <c r="BK32" s="1"/>
  <c r="BN32" s="1"/>
  <c r="BQ32" s="1"/>
  <c r="BT32" s="1"/>
  <c r="BW32" s="1"/>
  <c r="BZ32" s="1"/>
  <c r="CC32" s="1"/>
  <c r="CE46"/>
  <c r="BB46"/>
  <c r="BE46" s="1"/>
  <c r="BH46" s="1"/>
  <c r="BK46" s="1"/>
  <c r="BN46" s="1"/>
  <c r="BQ46" s="1"/>
  <c r="BT46" s="1"/>
  <c r="BW46" s="1"/>
  <c r="BZ46" s="1"/>
  <c r="CC46" s="1"/>
  <c r="CE56"/>
  <c r="BB56"/>
  <c r="BE56" s="1"/>
  <c r="BH56" s="1"/>
  <c r="BK56" s="1"/>
  <c r="BN56" s="1"/>
  <c r="BQ56" s="1"/>
  <c r="BT56" s="1"/>
  <c r="BW56" s="1"/>
  <c r="BZ56" s="1"/>
  <c r="CC56" s="1"/>
  <c r="CE14"/>
  <c r="BB14"/>
  <c r="BE14" s="1"/>
  <c r="BH14" s="1"/>
  <c r="BK14" s="1"/>
  <c r="BN14" s="1"/>
  <c r="BQ14" s="1"/>
  <c r="BT14" s="1"/>
  <c r="BW14" s="1"/>
  <c r="BZ14" s="1"/>
  <c r="CC14" s="1"/>
  <c r="CE15"/>
  <c r="BB15"/>
  <c r="BE15" s="1"/>
  <c r="BH15" s="1"/>
  <c r="BK15" s="1"/>
  <c r="BN15" s="1"/>
  <c r="BQ15" s="1"/>
  <c r="CE6"/>
  <c r="BB6"/>
  <c r="BE6" s="1"/>
  <c r="BH6" s="1"/>
  <c r="BK6" s="1"/>
  <c r="BN6" s="1"/>
  <c r="BQ6" s="1"/>
  <c r="BT6" s="1"/>
  <c r="BW6" s="1"/>
  <c r="BZ6" s="1"/>
  <c r="CC6" s="1"/>
  <c r="CE33"/>
  <c r="BB33"/>
  <c r="BE33" s="1"/>
  <c r="BH33" s="1"/>
  <c r="BK33" s="1"/>
  <c r="BN33" s="1"/>
  <c r="BQ33" s="1"/>
  <c r="BT33" s="1"/>
  <c r="BW33" s="1"/>
  <c r="BZ33" s="1"/>
  <c r="CC33" s="1"/>
  <c r="BB30"/>
  <c r="BE30" s="1"/>
  <c r="BH30" s="1"/>
  <c r="BK30" s="1"/>
  <c r="BN30" s="1"/>
  <c r="BQ30" s="1"/>
  <c r="CE30"/>
  <c r="BB40"/>
  <c r="BE40" s="1"/>
  <c r="BH40" s="1"/>
  <c r="BK40" s="1"/>
  <c r="BN40" s="1"/>
  <c r="BQ40" s="1"/>
  <c r="BT40" s="1"/>
  <c r="BW40" s="1"/>
  <c r="BZ40" s="1"/>
  <c r="CC40" s="1"/>
  <c r="CE40"/>
  <c r="CC9"/>
  <c r="CE44"/>
  <c r="BB44"/>
  <c r="BE44" s="1"/>
  <c r="BH44" s="1"/>
  <c r="BK44" s="1"/>
  <c r="BN44" s="1"/>
  <c r="BQ44" s="1"/>
  <c r="BT44" s="1"/>
  <c r="BW44" s="1"/>
  <c r="BZ44" s="1"/>
  <c r="CC44" s="1"/>
  <c r="AP61"/>
  <c r="AS61" s="1"/>
  <c r="AG31"/>
  <c r="AJ31" s="1"/>
  <c r="AM31" s="1"/>
  <c r="AP31" s="1"/>
  <c r="AM19"/>
  <c r="AP19" s="1"/>
  <c r="AS19" s="1"/>
  <c r="AV19" s="1"/>
  <c r="AY19" s="1"/>
  <c r="CE19" s="1"/>
  <c r="AM24"/>
  <c r="AP24" s="1"/>
  <c r="AS24" s="1"/>
  <c r="AV24" s="1"/>
  <c r="AY24" s="1"/>
  <c r="BZ49"/>
  <c r="CC49" s="1"/>
  <c r="BB49"/>
  <c r="BE49" s="1"/>
  <c r="BH49" s="1"/>
  <c r="BK49" s="1"/>
  <c r="BN49" s="1"/>
  <c r="BQ49" s="1"/>
  <c r="BT49" s="1"/>
  <c r="BW49" s="1"/>
  <c r="BT15"/>
  <c r="BW15" s="1"/>
  <c r="BZ15" s="1"/>
  <c r="CC15" s="1"/>
  <c r="AV25"/>
  <c r="AY25" s="1"/>
  <c r="AY26"/>
  <c r="BN26" s="1"/>
  <c r="BQ26" s="1"/>
  <c r="BT26" s="1"/>
  <c r="BW26" s="1"/>
  <c r="BZ26" s="1"/>
  <c r="CC26" s="1"/>
  <c r="AV42"/>
  <c r="AY42" s="1"/>
  <c r="AJ39"/>
  <c r="AM39" s="1"/>
  <c r="AP39" s="1"/>
  <c r="AS39" s="1"/>
  <c r="AV39" s="1"/>
  <c r="AY39" s="1"/>
  <c r="CE39" s="1"/>
  <c r="BB9"/>
  <c r="BE9" s="1"/>
  <c r="BH9" s="1"/>
  <c r="BK9" s="1"/>
  <c r="BN9" s="1"/>
  <c r="BQ9" s="1"/>
  <c r="BT9" s="1"/>
  <c r="BW9" s="1"/>
  <c r="BZ9" s="1"/>
  <c r="BT30"/>
  <c r="BW30" s="1"/>
  <c r="BZ30" s="1"/>
  <c r="CC30" s="1"/>
  <c r="AG13"/>
  <c r="AJ13"/>
  <c r="AM13" s="1"/>
  <c r="AP13" s="1"/>
  <c r="AS13" s="1"/>
  <c r="AG35"/>
  <c r="AJ35" s="1"/>
  <c r="AM35" s="1"/>
  <c r="AP35" s="1"/>
  <c r="AG59"/>
  <c r="AJ28"/>
  <c r="AM28" s="1"/>
  <c r="AP28" s="1"/>
  <c r="AS28" s="1"/>
  <c r="AV28" s="1"/>
  <c r="AY28" s="1"/>
  <c r="AJ43"/>
  <c r="AM43" s="1"/>
  <c r="AP43" s="1"/>
  <c r="AS43" s="1"/>
  <c r="AS38"/>
  <c r="AV38" s="1"/>
  <c r="AY38" s="1"/>
  <c r="BZ8"/>
  <c r="CC8" s="1"/>
  <c r="BT8"/>
  <c r="BW8" s="1"/>
  <c r="AJ34"/>
  <c r="AM34" s="1"/>
  <c r="AP34" s="1"/>
  <c r="AS34" s="1"/>
  <c r="AV34" s="1"/>
  <c r="AY34" s="1"/>
  <c r="AJ20"/>
  <c r="AM20" s="1"/>
  <c r="AP20" s="1"/>
  <c r="AS20" s="1"/>
  <c r="AV20" s="1"/>
  <c r="AY20" s="1"/>
  <c r="AD50"/>
  <c r="AG50" s="1"/>
  <c r="AJ50" s="1"/>
  <c r="AM50" s="1"/>
  <c r="AP50" s="1"/>
  <c r="AS50" s="1"/>
  <c r="AV50" s="1"/>
  <c r="AY50" s="1"/>
  <c r="BB60"/>
  <c r="BE60" s="1"/>
  <c r="BH60" s="1"/>
  <c r="AP52"/>
  <c r="AS52" s="1"/>
  <c r="AV52" s="1"/>
  <c r="AY52" s="1"/>
  <c r="AD27"/>
  <c r="AG27" s="1"/>
  <c r="AJ27" s="1"/>
  <c r="AM27" s="1"/>
  <c r="AP27" s="1"/>
  <c r="AS27" s="1"/>
  <c r="AV27" s="1"/>
  <c r="AY27" s="1"/>
  <c r="BN21"/>
  <c r="BQ21" s="1"/>
  <c r="BT21" s="1"/>
  <c r="BW21" s="1"/>
  <c r="BZ21" s="1"/>
  <c r="CC21" s="1"/>
  <c r="AM37"/>
  <c r="AP37" s="1"/>
  <c r="AS37" s="1"/>
  <c r="AV37" s="1"/>
  <c r="AY37" s="1"/>
  <c r="AP47"/>
  <c r="AS47" s="1"/>
  <c r="AV47" s="1"/>
  <c r="AY47" s="1"/>
  <c r="CE47" s="1"/>
  <c r="AJ48"/>
  <c r="AS41"/>
  <c r="AV41" s="1"/>
  <c r="AY41" s="1"/>
  <c r="CE41" s="1"/>
  <c r="BH42"/>
  <c r="BK42" s="1"/>
  <c r="BN42" s="1"/>
  <c r="BQ42" s="1"/>
  <c r="BT42" s="1"/>
  <c r="BW42"/>
  <c r="BZ42" s="1"/>
  <c r="CC42" s="1"/>
  <c r="BB55"/>
  <c r="BE55" s="1"/>
  <c r="BH55" s="1"/>
  <c r="BK55" s="1"/>
  <c r="BN55" s="1"/>
  <c r="BQ55" s="1"/>
  <c r="BT55" s="1"/>
  <c r="BW55" s="1"/>
  <c r="BZ55" s="1"/>
  <c r="CC55" s="1"/>
  <c r="AM18"/>
  <c r="AP18" s="1"/>
  <c r="AS18" s="1"/>
  <c r="AV18" s="1"/>
  <c r="AY18" s="1"/>
  <c r="AP5"/>
  <c r="AS5" s="1"/>
  <c r="AV5" s="1"/>
  <c r="AY5" s="1"/>
  <c r="CE5" s="1"/>
  <c r="BK60"/>
  <c r="BN60" s="1"/>
  <c r="BQ60" s="1"/>
  <c r="BT60" s="1"/>
  <c r="BW60" s="1"/>
  <c r="BZ60" s="1"/>
  <c r="CC60" s="1"/>
  <c r="AM22"/>
  <c r="AP22" s="1"/>
  <c r="AS22" s="1"/>
  <c r="AV22" s="1"/>
  <c r="BB7"/>
  <c r="BE7" s="1"/>
  <c r="BH7" s="1"/>
  <c r="BK7" s="1"/>
  <c r="BN7" s="1"/>
  <c r="BQ7" s="1"/>
  <c r="BT7" s="1"/>
  <c r="BW7" s="1"/>
  <c r="BZ7" s="1"/>
  <c r="CC7" s="1"/>
  <c r="AM62"/>
  <c r="CE29" l="1"/>
  <c r="BB58"/>
  <c r="BE58" s="1"/>
  <c r="BH58" s="1"/>
  <c r="BK58" s="1"/>
  <c r="BN58" s="1"/>
  <c r="BQ58" s="1"/>
  <c r="BT58" s="1"/>
  <c r="BW58" s="1"/>
  <c r="BZ58" s="1"/>
  <c r="CC58" s="1"/>
  <c r="BB47"/>
  <c r="BE47" s="1"/>
  <c r="BH47" s="1"/>
  <c r="BK47" s="1"/>
  <c r="BN47" s="1"/>
  <c r="BQ47" s="1"/>
  <c r="BZ47"/>
  <c r="CC47" s="1"/>
  <c r="BT47"/>
  <c r="BW47" s="1"/>
  <c r="AV13"/>
  <c r="BB29"/>
  <c r="BE29" s="1"/>
  <c r="BH29" s="1"/>
  <c r="BK29" s="1"/>
  <c r="BN29" s="1"/>
  <c r="BQ29" s="1"/>
  <c r="BT29" s="1"/>
  <c r="BW29" s="1"/>
  <c r="BZ29" s="1"/>
  <c r="CC29" s="1"/>
  <c r="AV61"/>
  <c r="CE17"/>
  <c r="BN38"/>
  <c r="BQ38" s="1"/>
  <c r="BT38" s="1"/>
  <c r="BW38" s="1"/>
  <c r="BZ38" s="1"/>
  <c r="CC38" s="1"/>
  <c r="BE38"/>
  <c r="BH38" s="1"/>
  <c r="BK38" s="1"/>
  <c r="AV43"/>
  <c r="AY43" s="1"/>
  <c r="AS35"/>
  <c r="AV35" s="1"/>
  <c r="BN41"/>
  <c r="BQ41" s="1"/>
  <c r="BT41" s="1"/>
  <c r="BW41" s="1"/>
  <c r="BZ41" s="1"/>
  <c r="CC41" s="1"/>
  <c r="BQ24"/>
  <c r="BT24" s="1"/>
  <c r="BW24" s="1"/>
  <c r="BZ24" s="1"/>
  <c r="CC24" s="1"/>
  <c r="BB19"/>
  <c r="BE19" s="1"/>
  <c r="BH19" s="1"/>
  <c r="BK19" s="1"/>
  <c r="BN19" s="1"/>
  <c r="BQ19" s="1"/>
  <c r="BT19" s="1"/>
  <c r="BW19" s="1"/>
  <c r="BZ19"/>
  <c r="CC19" s="1"/>
  <c r="AS31"/>
  <c r="AV31" s="1"/>
  <c r="AY31" s="1"/>
  <c r="CE18"/>
  <c r="BB18"/>
  <c r="BE18" s="1"/>
  <c r="BH18" s="1"/>
  <c r="BK18" s="1"/>
  <c r="BN18" s="1"/>
  <c r="BQ18" s="1"/>
  <c r="BT18" s="1"/>
  <c r="BW18" s="1"/>
  <c r="BZ18" s="1"/>
  <c r="CC18" s="1"/>
  <c r="CE50"/>
  <c r="BB50"/>
  <c r="BE50" s="1"/>
  <c r="BH50" s="1"/>
  <c r="BK50" s="1"/>
  <c r="BN50" s="1"/>
  <c r="BQ50" s="1"/>
  <c r="BT50" s="1"/>
  <c r="BW50" s="1"/>
  <c r="BZ50" s="1"/>
  <c r="CC50" s="1"/>
  <c r="CE20"/>
  <c r="BB20"/>
  <c r="BE20" s="1"/>
  <c r="BH20" s="1"/>
  <c r="BK20" s="1"/>
  <c r="BN20" s="1"/>
  <c r="BQ20" s="1"/>
  <c r="BT20" s="1"/>
  <c r="BW20" s="1"/>
  <c r="BZ20" s="1"/>
  <c r="CC20" s="1"/>
  <c r="CE43"/>
  <c r="BB43"/>
  <c r="BE43" s="1"/>
  <c r="BH43" s="1"/>
  <c r="BK43" s="1"/>
  <c r="BN43" s="1"/>
  <c r="BQ43" s="1"/>
  <c r="BT43" s="1"/>
  <c r="BW43" s="1"/>
  <c r="BZ43" s="1"/>
  <c r="CC43" s="1"/>
  <c r="CE28"/>
  <c r="BB28"/>
  <c r="BE28" s="1"/>
  <c r="BH28" s="1"/>
  <c r="BK28" s="1"/>
  <c r="BN28" s="1"/>
  <c r="BQ28" s="1"/>
  <c r="BT28" s="1"/>
  <c r="BW28" s="1"/>
  <c r="BZ28" s="1"/>
  <c r="CC28" s="1"/>
  <c r="BB37"/>
  <c r="BE37" s="1"/>
  <c r="BH37" s="1"/>
  <c r="BK37" s="1"/>
  <c r="BN37" s="1"/>
  <c r="BQ37" s="1"/>
  <c r="BT37" s="1"/>
  <c r="BW37" s="1"/>
  <c r="BZ37" s="1"/>
  <c r="CC37" s="1"/>
  <c r="CE37"/>
  <c r="CE27"/>
  <c r="BB27"/>
  <c r="BE27" s="1"/>
  <c r="BH27" s="1"/>
  <c r="BK27" s="1"/>
  <c r="BN27" s="1"/>
  <c r="BQ27" s="1"/>
  <c r="BT27" s="1"/>
  <c r="BW27" s="1"/>
  <c r="BZ27" s="1"/>
  <c r="CC27" s="1"/>
  <c r="CE34"/>
  <c r="BB34"/>
  <c r="BE34" s="1"/>
  <c r="BH34" s="1"/>
  <c r="BK34" s="1"/>
  <c r="BN34" s="1"/>
  <c r="BQ34" s="1"/>
  <c r="BT34" s="1"/>
  <c r="BW34" s="1"/>
  <c r="BZ34" s="1"/>
  <c r="CC34" s="1"/>
  <c r="CE52"/>
  <c r="BB52"/>
  <c r="BE52" s="1"/>
  <c r="BH52" s="1"/>
  <c r="BK52" s="1"/>
  <c r="BN52" s="1"/>
  <c r="BQ52" s="1"/>
  <c r="BT52" s="1"/>
  <c r="BW52" s="1"/>
  <c r="BZ52" s="1"/>
  <c r="CC52" s="1"/>
  <c r="CE38"/>
  <c r="BB38"/>
  <c r="CE26"/>
  <c r="BB26"/>
  <c r="BE26" s="1"/>
  <c r="BH26" s="1"/>
  <c r="BK26" s="1"/>
  <c r="CE24"/>
  <c r="BB24"/>
  <c r="BE24" s="1"/>
  <c r="BH24" s="1"/>
  <c r="BK24" s="1"/>
  <c r="BN24" s="1"/>
  <c r="AY22"/>
  <c r="BB39"/>
  <c r="BE39" s="1"/>
  <c r="BH39" s="1"/>
  <c r="BK39" s="1"/>
  <c r="BN39" s="1"/>
  <c r="BQ39" s="1"/>
  <c r="BT39" s="1"/>
  <c r="BW39" s="1"/>
  <c r="BZ39" s="1"/>
  <c r="CC39" s="1"/>
  <c r="BB41"/>
  <c r="BE41" s="1"/>
  <c r="BH41" s="1"/>
  <c r="BK41" s="1"/>
  <c r="AJ59"/>
  <c r="AM59" s="1"/>
  <c r="AP59" s="1"/>
  <c r="AS59" s="1"/>
  <c r="AV59" s="1"/>
  <c r="AY59" s="1"/>
  <c r="CE42"/>
  <c r="BB42"/>
  <c r="BE42" s="1"/>
  <c r="CE25"/>
  <c r="BB25"/>
  <c r="BE25" s="1"/>
  <c r="BH25" s="1"/>
  <c r="BK25" s="1"/>
  <c r="BN25" s="1"/>
  <c r="BQ25" s="1"/>
  <c r="BT25" s="1"/>
  <c r="BW25" s="1"/>
  <c r="BZ25" s="1"/>
  <c r="CC25" s="1"/>
  <c r="BB31"/>
  <c r="BE31" s="1"/>
  <c r="BH31" s="1"/>
  <c r="BK31" s="1"/>
  <c r="BN31" s="1"/>
  <c r="BQ31" s="1"/>
  <c r="BT31" s="1"/>
  <c r="BW31" s="1"/>
  <c r="BZ31" s="1"/>
  <c r="CC31" s="1"/>
  <c r="AM48"/>
  <c r="AP48" s="1"/>
  <c r="AS48" s="1"/>
  <c r="AV48" s="1"/>
  <c r="AY48" s="1"/>
  <c r="BB5"/>
  <c r="BE5" s="1"/>
  <c r="BH5" s="1"/>
  <c r="BK5" s="1"/>
  <c r="BN5" s="1"/>
  <c r="BQ5" s="1"/>
  <c r="BT5" s="1"/>
  <c r="BW5" s="1"/>
  <c r="BZ5" s="1"/>
  <c r="CC5" s="1"/>
  <c r="AP62"/>
  <c r="AS62" s="1"/>
  <c r="AV62" s="1"/>
  <c r="AY35" l="1"/>
  <c r="CE35" s="1"/>
  <c r="CE31"/>
  <c r="AY13"/>
  <c r="BQ13" s="1"/>
  <c r="BT13" s="1"/>
  <c r="BW13" s="1"/>
  <c r="BZ13" s="1"/>
  <c r="AY61"/>
  <c r="BB61" s="1"/>
  <c r="BE61" s="1"/>
  <c r="CE59"/>
  <c r="BB59"/>
  <c r="BE59" s="1"/>
  <c r="BH59" s="1"/>
  <c r="BK59" s="1"/>
  <c r="BN59" s="1"/>
  <c r="BQ59" s="1"/>
  <c r="BT59" s="1"/>
  <c r="BW59" s="1"/>
  <c r="BZ59" s="1"/>
  <c r="CC59" s="1"/>
  <c r="CE48"/>
  <c r="BB48"/>
  <c r="BE48" s="1"/>
  <c r="BH48" s="1"/>
  <c r="BK48" s="1"/>
  <c r="BN48" s="1"/>
  <c r="BQ48" s="1"/>
  <c r="BT48" s="1"/>
  <c r="BW48" s="1"/>
  <c r="BZ48" s="1"/>
  <c r="CC48" s="1"/>
  <c r="CE22"/>
  <c r="BB22"/>
  <c r="BE22" s="1"/>
  <c r="BH22" s="1"/>
  <c r="BK22" s="1"/>
  <c r="BN22" s="1"/>
  <c r="BQ22" s="1"/>
  <c r="BT22" s="1"/>
  <c r="BW22" s="1"/>
  <c r="BZ22" s="1"/>
  <c r="CC22" s="1"/>
  <c r="G62"/>
  <c r="AY62"/>
  <c r="BT62" s="1"/>
  <c r="BW62" s="1"/>
  <c r="BZ62" s="1"/>
  <c r="CC62" s="1"/>
  <c r="BB35" l="1"/>
  <c r="BE35" s="1"/>
  <c r="BH35" s="1"/>
  <c r="BK35" s="1"/>
  <c r="BN35" s="1"/>
  <c r="BQ35" s="1"/>
  <c r="BT35" s="1"/>
  <c r="BW35" s="1"/>
  <c r="BZ35" s="1"/>
  <c r="CC35" s="1"/>
  <c r="BH61"/>
  <c r="BK61" s="1"/>
  <c r="CE61"/>
  <c r="BN61"/>
  <c r="BQ61" s="1"/>
  <c r="BT61" s="1"/>
  <c r="BW61" s="1"/>
  <c r="BZ61" s="1"/>
  <c r="CC61" s="1"/>
  <c r="CE13"/>
  <c r="BK13"/>
  <c r="BN13" s="1"/>
  <c r="BB13"/>
  <c r="BE13"/>
  <c r="BH13" s="1"/>
  <c r="CC13"/>
  <c r="BB62"/>
  <c r="BE62" s="1"/>
  <c r="BH62" s="1"/>
  <c r="BK62" s="1"/>
  <c r="BN62" s="1"/>
  <c r="BQ62" s="1"/>
  <c r="CE62"/>
  <c r="B24" i="9"/>
  <c r="B23"/>
  <c r="B22"/>
  <c r="B21"/>
  <c r="B20"/>
  <c r="B19"/>
  <c r="B18"/>
  <c r="B17"/>
  <c r="B16"/>
  <c r="B15"/>
  <c r="B14"/>
  <c r="B13"/>
  <c r="B12"/>
  <c r="B11"/>
  <c r="B10"/>
  <c r="B9"/>
  <c r="B2"/>
  <c r="B5"/>
  <c r="B4"/>
  <c r="B3"/>
  <c r="B25" l="1"/>
  <c r="C9" s="1"/>
  <c r="B6"/>
  <c r="BA4" i="7"/>
  <c r="BD4" s="1"/>
  <c r="BG4" s="1"/>
  <c r="BJ4" s="1"/>
  <c r="BM4" s="1"/>
  <c r="BP4" s="1"/>
  <c r="BS4" s="1"/>
  <c r="BV4" s="1"/>
  <c r="BY4" s="1"/>
  <c r="CB4" s="1"/>
  <c r="K4"/>
  <c r="L4" s="1"/>
  <c r="E2" i="6"/>
  <c r="D2" s="1"/>
  <c r="D3"/>
  <c r="I6" s="1"/>
  <c r="J1" i="7"/>
  <c r="M1" s="1"/>
  <c r="O64"/>
  <c r="R64" s="1"/>
  <c r="U64" s="1"/>
  <c r="X64" s="1"/>
  <c r="AA64" s="1"/>
  <c r="AD64" s="1"/>
  <c r="AG64" s="1"/>
  <c r="AJ64" s="1"/>
  <c r="AM64" s="1"/>
  <c r="AP64" s="1"/>
  <c r="AS64" s="1"/>
  <c r="AV64" s="1"/>
  <c r="AY64" s="1"/>
  <c r="Y68"/>
  <c r="AB68"/>
  <c r="AE68"/>
  <c r="AH68"/>
  <c r="AK68"/>
  <c r="AN68"/>
  <c r="AQ68"/>
  <c r="AT68"/>
  <c r="AW68"/>
  <c r="J68"/>
  <c r="A19" i="8"/>
  <c r="CE63" i="7"/>
  <c r="I68"/>
  <c r="M68"/>
  <c r="P68"/>
  <c r="S68"/>
  <c r="V68"/>
  <c r="AZ68"/>
  <c r="BC68"/>
  <c r="BF68"/>
  <c r="BI68"/>
  <c r="BL68"/>
  <c r="BO68"/>
  <c r="BR68"/>
  <c r="BU68"/>
  <c r="BX68"/>
  <c r="CA68"/>
  <c r="BB64"/>
  <c r="BE64" s="1"/>
  <c r="BH64" s="1"/>
  <c r="BK64" s="1"/>
  <c r="BN64" s="1"/>
  <c r="BQ64" s="1"/>
  <c r="BT64" s="1"/>
  <c r="BW64" s="1"/>
  <c r="BZ64" s="1"/>
  <c r="CC64" s="1"/>
  <c r="AZ1"/>
  <c r="BC1" s="1"/>
  <c r="BF1" s="1"/>
  <c r="BI1" s="1"/>
  <c r="BL1" s="1"/>
  <c r="BO1" s="1"/>
  <c r="BR1" s="1"/>
  <c r="BU1" s="1"/>
  <c r="BX1" s="1"/>
  <c r="CA1" s="1"/>
  <c r="C20" i="9" l="1"/>
  <c r="C24"/>
  <c r="C12"/>
  <c r="C23"/>
  <c r="C19"/>
  <c r="C15"/>
  <c r="C22"/>
  <c r="C16"/>
  <c r="C21"/>
  <c r="C17"/>
  <c r="C13"/>
  <c r="C18"/>
  <c r="C11"/>
  <c r="C10"/>
  <c r="C14"/>
  <c r="BA68" i="7"/>
  <c r="BD68"/>
  <c r="N4"/>
  <c r="Q4" s="1"/>
  <c r="T4" s="1"/>
  <c r="W4" s="1"/>
  <c r="Z4" s="1"/>
  <c r="AC4" s="1"/>
  <c r="AF4" s="1"/>
  <c r="AI4" s="1"/>
  <c r="AL4" s="1"/>
  <c r="AO4" s="1"/>
  <c r="AR4" s="1"/>
  <c r="AU4" s="1"/>
  <c r="AX4" s="1"/>
  <c r="G8" i="6" s="1"/>
  <c r="BG68" i="7"/>
  <c r="K68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C25" i="9" l="1"/>
  <c r="N68" i="7"/>
  <c r="O4"/>
  <c r="R4" s="1"/>
  <c r="BJ68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F36" l="1"/>
  <c r="Q68" i="7"/>
  <c r="F31" i="8"/>
  <c r="W68" i="7"/>
  <c r="T68"/>
  <c r="F37" i="8"/>
  <c r="F35"/>
  <c r="U4" i="7"/>
  <c r="F24" i="8"/>
  <c r="F27" s="1"/>
  <c r="F28" s="1"/>
  <c r="BM68" i="7"/>
  <c r="Z68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F25" l="1"/>
  <c r="G36"/>
  <c r="G37"/>
  <c r="G35"/>
  <c r="G31"/>
  <c r="X4" i="7"/>
  <c r="BP68"/>
  <c r="G25" i="8"/>
  <c r="AC68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H25" l="1"/>
  <c r="H37"/>
  <c r="H36"/>
  <c r="H31"/>
  <c r="H35"/>
  <c r="H28"/>
  <c r="AA4" i="7"/>
  <c r="AD4" s="1"/>
  <c r="BS68"/>
  <c r="AF68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8" i="7"/>
  <c r="AI68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W10" s="1"/>
  <c r="T13"/>
  <c r="W13" s="1"/>
  <c r="T17"/>
  <c r="W17" s="1"/>
  <c r="T18"/>
  <c r="W18" s="1"/>
  <c r="T25"/>
  <c r="W25" s="1"/>
  <c r="T22"/>
  <c r="W22" s="1"/>
  <c r="T24"/>
  <c r="W24" s="1"/>
  <c r="T19"/>
  <c r="W19" s="1"/>
  <c r="T14"/>
  <c r="W14" s="1"/>
  <c r="T12"/>
  <c r="W12" s="1"/>
  <c r="T15"/>
  <c r="W15" s="1"/>
  <c r="T9"/>
  <c r="W9" s="1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8"/>
  <c r="BY68"/>
  <c r="J27" i="8"/>
  <c r="J28" s="1"/>
  <c r="J25"/>
  <c r="AL68" i="7"/>
  <c r="C9" i="6"/>
  <c r="C10" s="1"/>
  <c r="AH1" i="7"/>
  <c r="L20" i="8"/>
  <c r="K22"/>
  <c r="K23"/>
  <c r="K24" s="1"/>
  <c r="K36" l="1"/>
  <c r="K35"/>
  <c r="K37"/>
  <c r="K31"/>
  <c r="G4" i="7"/>
  <c r="BB4"/>
  <c r="BE4" s="1"/>
  <c r="BH4" s="1"/>
  <c r="BK4" s="1"/>
  <c r="BN4" s="1"/>
  <c r="BQ4" s="1"/>
  <c r="BT4" s="1"/>
  <c r="BW4" s="1"/>
  <c r="BZ4" s="1"/>
  <c r="CC4" s="1"/>
  <c r="AO68"/>
  <c r="K27" i="8"/>
  <c r="K28" s="1"/>
  <c r="K25"/>
  <c r="AK1" i="7"/>
  <c r="M20" i="8"/>
  <c r="L22"/>
  <c r="L31"/>
  <c r="L37"/>
  <c r="L35"/>
  <c r="L23"/>
  <c r="L24" s="1"/>
  <c r="L27" s="1"/>
  <c r="L28" s="1"/>
  <c r="L36"/>
  <c r="AR68" i="7" l="1"/>
  <c r="L25" i="8"/>
  <c r="N20"/>
  <c r="AN1" i="7"/>
  <c r="M23" i="8"/>
  <c r="M24" s="1"/>
  <c r="M27" s="1"/>
  <c r="M37"/>
  <c r="M31"/>
  <c r="M22"/>
  <c r="M35"/>
  <c r="M36"/>
  <c r="M28" l="1"/>
  <c r="AU68" i="7"/>
  <c r="N31" i="8"/>
  <c r="N35"/>
  <c r="N23"/>
  <c r="N24" s="1"/>
  <c r="N27" s="1"/>
  <c r="N37"/>
  <c r="N36"/>
  <c r="N22"/>
  <c r="M25"/>
  <c r="AQ1" i="7"/>
  <c r="O20" i="8"/>
  <c r="B30" i="9" l="1"/>
  <c r="B29"/>
  <c r="B31"/>
  <c r="B32"/>
  <c r="B28"/>
  <c r="N28" i="8"/>
  <c r="AX68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24" s="1"/>
  <c r="P27" s="1"/>
  <c r="P36"/>
  <c r="P35"/>
  <c r="P33"/>
  <c r="C29" i="9" l="1"/>
  <c r="C30"/>
  <c r="C32"/>
  <c r="C31"/>
  <c r="P28" i="8"/>
  <c r="O29"/>
  <c r="I33"/>
  <c r="I29" s="1"/>
  <c r="J33"/>
  <c r="K33"/>
  <c r="M33"/>
  <c r="N33"/>
  <c r="L33"/>
  <c r="G33"/>
  <c r="G32" s="1"/>
  <c r="H33"/>
  <c r="E33"/>
  <c r="F33"/>
  <c r="BB68" i="7"/>
  <c r="R23" i="8"/>
  <c r="R31"/>
  <c r="R35"/>
  <c r="R33"/>
  <c r="R22"/>
  <c r="R37"/>
  <c r="R36"/>
  <c r="P25"/>
  <c r="P29" s="1"/>
  <c r="Q23"/>
  <c r="Q35"/>
  <c r="Q36"/>
  <c r="Q22"/>
  <c r="Q31"/>
  <c r="Q37"/>
  <c r="Q33"/>
  <c r="P32"/>
  <c r="R24" l="1"/>
  <c r="R27" s="1"/>
  <c r="R28" s="1"/>
  <c r="I32"/>
  <c r="C33" i="9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8" i="7"/>
  <c r="R25" i="8"/>
  <c r="R29" s="1"/>
  <c r="R32" l="1"/>
  <c r="Q27"/>
  <c r="Q28" s="1"/>
  <c r="Q25"/>
  <c r="Q29" s="1"/>
  <c r="Q32"/>
  <c r="BH68" i="7"/>
  <c r="BK68" l="1"/>
  <c r="BN68" l="1"/>
  <c r="BQ68" l="1"/>
  <c r="BT68" l="1"/>
  <c r="BW68" l="1"/>
  <c r="BZ68" l="1"/>
  <c r="CC68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<sst xmlns="http://schemas.openxmlformats.org/spreadsheetml/2006/main" count="312" uniqueCount="159">
  <si>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</si>
  <si>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</si>
  <si>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</si>
  <si>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</si>
  <si>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</si>
  <si>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</si>
  <si>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</si>
  <si>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</si>
  <si>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</si>
  <si>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</si>
  <si>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</si>
  <si>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</si>
  <si>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</si>
  <si>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</si>
  <si>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</si>
  <si>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</si>
  <si>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</si>
  <si>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</si>
  <si>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</si>
  <si>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</si>
  <si>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</si>
  <si>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</si>
  <si>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</si>
  <si>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</si>
  <si>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</si>
  <si>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</si>
  <si>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</si>
  <si>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</si>
  <si>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</si>
  <si>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</si>
  <si>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</si>
  <si>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</si>
  <si>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</si>
  <si>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</si>
  <si>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</si>
  <si>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</si>
  <si>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</si>
  <si>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</si>
  <si>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</si>
  <si>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</si>
  <si>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</si>
  <si>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</si>
  <si>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</si>
  <si>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</si>
  <si>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</si>
  <si>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</si>
  <si>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</si>
  <si>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</si>
  <si>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</si>
  <si>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</si>
  <si>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</si>
  <si>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</si>
  <si>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</si>
  <si>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</si>
  <si>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</si>
  <si>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</si>
  <si>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</si>
  <si>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</si>
  <si>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</si>
  <si>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</si>
  <si>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</si>
  <si>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</si>
  <si>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</si>
  <si>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</si>
  <si>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</si>
  <si>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</si>
  <si>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</si>
  <si>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</si>
  <si>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</si>
  <si>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</si>
  <si>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</si>
  <si>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</si>
  <si>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</si>
  <si>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</si>
  <si>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</si>
  <si>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</si>
  <si>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</si>
  <si>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</si>
  <si>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</si>
  <si>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</si>
  <si>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</si>
  <si>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</si>
  <si>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</si>
  <si>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</si>
  <si>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</si>
  <si>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</si>
  <si>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</si>
  <si>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</si>
  <si>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</si>
  <si>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</si>
  <si>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</si>
  <si>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</si>
  <si>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</si>
  <si>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</si>
  <si>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</si>
  <si>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</si>
  <si>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</si>
  <si>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</si>
  <si>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</si>
  <si>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</si>
  <si>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</si>
  <si>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</si>
  <si>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</si>
  <si>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</si>
  <si>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</si>
  <si>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</si>
  <si>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</si>
  <si>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</si>
  <si>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</si>
  <si>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</si>
  <si>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</si>
  <si>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</si>
  <si>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</si>
  <si>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</si>
  <si>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</si>
  <si>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</si>
  <si>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</si>
  <si>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</si>
  <si>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</si>
  <si>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</si>
  <si>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</si>
  <si>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</si>
  <si>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</si>
  <si>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</si>
  <si>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</si>
  <si>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</si>
  <si>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</si>
  <si>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</si>
  <si>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</si>
  <si>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Avinash Pathak</t>
  </si>
  <si>
    <t>Avinash</t>
  </si>
  <si>
    <t>Itishree Behera</t>
  </si>
  <si>
    <t>Itishree</t>
  </si>
  <si>
    <t>Tapasranjan Swain</t>
  </si>
  <si>
    <t>Tapas</t>
  </si>
  <si>
    <t>Aakash Kumar</t>
  </si>
  <si>
    <t>Aakas</t>
  </si>
  <si>
    <t>Kiran Panda</t>
  </si>
  <si>
    <t>Kiran</t>
  </si>
  <si>
    <t>Aishwarya Khondapani</t>
  </si>
  <si>
    <t>Aishwarya</t>
  </si>
  <si>
    <t>Anirudh</t>
  </si>
  <si>
    <t>Partha</t>
  </si>
  <si>
    <t>Sasmita</t>
  </si>
  <si>
    <t>Anshuman</t>
  </si>
  <si>
    <t>Bijay</t>
  </si>
  <si>
    <t>Tarini</t>
  </si>
  <si>
    <t>Nilamber</t>
  </si>
  <si>
    <t>Amrit</t>
  </si>
  <si>
    <t>Omm</t>
  </si>
  <si>
    <t>Tridev</t>
  </si>
  <si>
    <t>Guru</t>
  </si>
  <si>
    <t>Ranjeet</t>
  </si>
  <si>
    <t xml:space="preserve">Implement SMS Facility when there is emailing system for </t>
  </si>
  <si>
    <t>SCTE&amp;VT Aff</t>
  </si>
  <si>
    <t>Bug</t>
  </si>
  <si>
    <t>15-Jan/30-Jan</t>
  </si>
  <si>
    <t>partha.sarathi@lipl.in</t>
  </si>
  <si>
    <t xml:space="preserve">whatsapp(8260873161) 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</si>
</sst>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1" fillId="30" borderId="53" xfId="36" applyFill="1" applyBorder="1" applyAlignment="1" applyProtection="1">
      <alignment horizontal="left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58</c:v>
                </c:pt>
                <c:pt idx="1">
                  <c:v>58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78419840"/>
        <c:axId val="78430592"/>
      </c:areaChart>
      <c:catAx>
        <c:axId val="78419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975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843059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8430592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7841984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535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433" l="0.70000000000000062" r="0.70000000000000062" t="0.75000000000000433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202"/>
          <c:y val="0.17669172932330818"/>
          <c:w val="0.87100657289633654"/>
          <c:h val="0.46992481203007791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16</c:v>
                </c:pt>
                <c:pt idx="1">
                  <c:v>16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78500224"/>
        <c:axId val="78502528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8</c:v>
                </c:pt>
                <c:pt idx="1">
                  <c:v>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8</c:v>
                </c:pt>
                <c:pt idx="1">
                  <c:v>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marker val="1"/>
        <c:axId val="78500224"/>
        <c:axId val="78502528"/>
      </c:lineChart>
      <c:catAx>
        <c:axId val="78500224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850252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850252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50022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433" l="0.70000000000000062" r="0.70000000000000062" t="0.75000000000000433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Bug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81187584"/>
        <c:axId val="81189120"/>
      </c:barChart>
      <c:catAx>
        <c:axId val="81187584"/>
        <c:scaling>
          <c:orientation val="minMax"/>
        </c:scaling>
        <c:axPos val="b"/>
        <c:tickLblPos val="nextTo"/>
        <c:crossAx val="81189120"/>
        <c:crosses val="autoZero"/>
        <c:auto val="1"/>
        <c:lblAlgn val="ctr"/>
        <c:lblOffset val="100"/>
      </c:catAx>
      <c:valAx>
        <c:axId val="81189120"/>
        <c:scaling>
          <c:orientation val="minMax"/>
        </c:scaling>
        <c:axPos val="l"/>
        <c:majorGridlines/>
        <c:numFmt formatCode="0%" sourceLinked="1"/>
        <c:tickLblPos val="nextTo"/>
        <c:crossAx val="81187584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81323520"/>
        <c:axId val="81325056"/>
      </c:barChart>
      <c:catAx>
        <c:axId val="81323520"/>
        <c:scaling>
          <c:orientation val="minMax"/>
        </c:scaling>
        <c:axPos val="b"/>
        <c:tickLblPos val="nextTo"/>
        <c:crossAx val="81325056"/>
        <c:crosses val="autoZero"/>
        <c:auto val="1"/>
        <c:lblAlgn val="ctr"/>
        <c:lblOffset val="100"/>
      </c:catAx>
      <c:valAx>
        <c:axId val="81325056"/>
        <c:scaling>
          <c:orientation val="minMax"/>
        </c:scaling>
        <c:axPos val="l"/>
        <c:majorGridlines/>
        <c:numFmt formatCode="0%" sourceLinked="1"/>
        <c:tickLblPos val="nextTo"/>
        <c:crossAx val="8132352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81364480"/>
        <c:axId val="81366016"/>
      </c:barChart>
      <c:catAx>
        <c:axId val="81364480"/>
        <c:scaling>
          <c:orientation val="minMax"/>
        </c:scaling>
        <c:axPos val="b"/>
        <c:tickLblPos val="nextTo"/>
        <c:crossAx val="81366016"/>
        <c:crosses val="autoZero"/>
        <c:auto val="1"/>
        <c:lblAlgn val="ctr"/>
        <c:lblOffset val="100"/>
      </c:catAx>
      <c:valAx>
        <c:axId val="81366016"/>
        <c:scaling>
          <c:orientation val="minMax"/>
        </c:scaling>
        <c:axPos val="l"/>
        <c:majorGridlines/>
        <c:numFmt formatCode="0%" sourceLinked="1"/>
        <c:tickLblPos val="nextTo"/>
        <c:crossAx val="8136448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partha.sarathi@lipl.in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2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4" sqref="E4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8.85546875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43480</v>
      </c>
      <c r="H1" s="1"/>
      <c r="I1" s="1"/>
      <c r="J1" s="188">
        <f>SprintStart</f>
        <v>43480</v>
      </c>
      <c r="K1" s="188"/>
      <c r="L1" s="188"/>
      <c r="M1" s="188">
        <f>IF(AND(SkipWeekends, WEEKDAY(J1)=6),J1+3, J1+1)</f>
        <v>43481</v>
      </c>
      <c r="N1" s="188"/>
      <c r="O1" s="188"/>
      <c r="P1" s="188">
        <f>IF(AND(SkipWeekends, WEEKDAY(M1)=6),M1+3, M1+1)</f>
        <v>43482</v>
      </c>
      <c r="Q1" s="188"/>
      <c r="R1" s="188"/>
      <c r="S1" s="188">
        <f>IF(AND(SkipWeekends, WEEKDAY(P1)=6),P1+3, P1+1)</f>
        <v>43483</v>
      </c>
      <c r="T1" s="188"/>
      <c r="U1" s="188"/>
      <c r="V1" s="188">
        <f>IF(AND(SkipWeekends, WEEKDAY(S1)=6),S1+3, S1+1)</f>
        <v>43486</v>
      </c>
      <c r="W1" s="188"/>
      <c r="X1" s="188"/>
      <c r="Y1" s="188">
        <f>IF(AND(SkipWeekends, WEEKDAY(V1)=6),V1+3, V1+1)</f>
        <v>43487</v>
      </c>
      <c r="Z1" s="188"/>
      <c r="AA1" s="188"/>
      <c r="AB1" s="188">
        <f>IF(AND(SkipWeekends, WEEKDAY(Y1)=6),Y1+3, Y1+1)</f>
        <v>43488</v>
      </c>
      <c r="AC1" s="188"/>
      <c r="AD1" s="188"/>
      <c r="AE1" s="188">
        <f>IF(AND(SkipWeekends, WEEKDAY(AB1)=6),AB1+3, AB1+1)</f>
        <v>43489</v>
      </c>
      <c r="AF1" s="188"/>
      <c r="AG1" s="188"/>
      <c r="AH1" s="188">
        <f>IF(AND(SkipWeekends, WEEKDAY(AE1)=6),AE1+3, AE1+1)</f>
        <v>43490</v>
      </c>
      <c r="AI1" s="188"/>
      <c r="AJ1" s="188"/>
      <c r="AK1" s="188">
        <f>IF(AND(SkipWeekends, WEEKDAY(AH1)=6),AH1+3, AH1+1)</f>
        <v>43493</v>
      </c>
      <c r="AL1" s="188"/>
      <c r="AM1" s="188"/>
      <c r="AN1" s="188">
        <f>IF(AND(SkipWeekends, WEEKDAY(AK1)=6),AK1+3, AK1+1)</f>
        <v>43494</v>
      </c>
      <c r="AO1" s="188"/>
      <c r="AP1" s="188"/>
      <c r="AQ1" s="188">
        <f>IF(AND(SkipWeekends, WEEKDAY(AN1)=6),AN1+3, AN1+1)</f>
        <v>43495</v>
      </c>
      <c r="AR1" s="188"/>
      <c r="AS1" s="188"/>
      <c r="AT1" s="188">
        <f>IF(AND(SkipWeekends, WEEKDAY(AQ1)=6),AQ1+3, AQ1+1)</f>
        <v>43496</v>
      </c>
      <c r="AU1" s="188"/>
      <c r="AV1" s="188"/>
      <c r="AW1" s="188">
        <f>IF(AND(SkipWeekends, WEEKDAY(AT1)=6),AT1+3, AT1+1)</f>
        <v>43497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98</v>
      </c>
      <c r="B3" s="11" t="s">
        <v>99</v>
      </c>
      <c r="C3" s="11" t="s">
        <v>82</v>
      </c>
      <c r="D3" s="11" t="s">
        <v>83</v>
      </c>
      <c r="E3" s="1" t="s">
        <v>84</v>
      </c>
      <c r="F3" s="1" t="s">
        <v>92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101</v>
      </c>
      <c r="B4" s="16" t="s">
        <v>114</v>
      </c>
      <c r="C4" s="16" t="s">
        <v>154</v>
      </c>
      <c r="D4" s="17"/>
      <c r="E4" s="178" t="s">
        <v>153</v>
      </c>
      <c r="F4" s="18" t="s">
        <v>134</v>
      </c>
      <c r="G4" s="19" t="str">
        <f t="shared" ref="G4:G62" ca="1" si="0">(INDEX(Burndown,ROW(G4)-ROW(G$3),MIN(TODAY()-SprintStart,29)*3+3))</f>
        <v>In Progress</v>
      </c>
      <c r="H4" s="20">
        <v>5</v>
      </c>
      <c r="I4" s="21">
        <v>16</v>
      </c>
      <c r="J4" s="22">
        <v>8</v>
      </c>
      <c r="K4" s="22">
        <f t="shared" ref="K4" si="1">MAX(I4-J4, 0)</f>
        <v>8</v>
      </c>
      <c r="L4" s="23" t="str">
        <f>IF(SUMPRODUCT($J$65:K$65,$J4:K4)&lt;0.5, "Pending", IF(K4&lt;0.5, "Complete", "In Progress"))</f>
        <v>In Progress</v>
      </c>
      <c r="M4" s="22">
        <v>0</v>
      </c>
      <c r="N4" s="22">
        <f t="shared" ref="N4" si="2">MAX(K4-M4,0)</f>
        <v>8</v>
      </c>
      <c r="O4" s="23" t="str">
        <f>IF(SUMPRODUCT($J$65:N$65,$J4:N4)&lt;0.5, "Pending", IF(N4&lt;0.5, "Complete", "In Progress"))</f>
        <v>In Progress</v>
      </c>
      <c r="P4" s="22">
        <v>0</v>
      </c>
      <c r="Q4" s="22">
        <f t="shared" ref="Q4" si="3">MAX(N4-P4,0)</f>
        <v>8</v>
      </c>
      <c r="R4" s="23" t="str">
        <f>IF(SUMPRODUCT($J$65:Q$65,$J4:Q4)&lt;0.5, "Pending", IF(Q4&lt;0.5, "Complete", "In Progress"))</f>
        <v>In Progress</v>
      </c>
      <c r="S4" s="22">
        <v>3</v>
      </c>
      <c r="T4" s="22">
        <f t="shared" ref="T4" si="4">MAX(Q4-S4,0)</f>
        <v>5</v>
      </c>
      <c r="U4" s="23" t="str">
        <f>IF(SUMPRODUCT($J$65:T$65,$J4:T4)&lt;0.5, "Pending", IF(T4&lt;0.5, "Complete", "In Progress"))</f>
        <v>In Progress</v>
      </c>
      <c r="V4" s="22">
        <v>0</v>
      </c>
      <c r="W4" s="22">
        <f t="shared" ref="W4" si="5">MAX(T4-V4,0)</f>
        <v>5</v>
      </c>
      <c r="X4" s="23" t="str">
        <f>IF(SUMPRODUCT($J$65:W$65,$J4:W4)&lt;0.5, "Pending", IF(W4&lt;0.5, "Complete", "In Progress"))</f>
        <v>In Progress</v>
      </c>
      <c r="Y4" s="22">
        <v>0</v>
      </c>
      <c r="Z4" s="22">
        <f t="shared" ref="Z4" si="6">MAX(W4-Y4,0)</f>
        <v>5</v>
      </c>
      <c r="AA4" s="23" t="str">
        <f>IF(SUMPRODUCT($J$65:Z$65,$J4:Z4)&lt;0.5, "Pending", IF(Z4&lt;0.5, "Complete", "In Progress"))</f>
        <v>In Progress</v>
      </c>
      <c r="AB4" s="22">
        <v>0</v>
      </c>
      <c r="AC4" s="22">
        <f t="shared" ref="AC4" si="7">MAX(Z4-AB4,0)</f>
        <v>5</v>
      </c>
      <c r="AD4" s="23" t="str">
        <f>IF(SUMPRODUCT($J$65:AC$65,$J4:AC4)&lt;0.5, "Pending", IF(AC4&lt;0.5, "Complete", "In Progress"))</f>
        <v>In Progress</v>
      </c>
      <c r="AE4" s="22">
        <v>0</v>
      </c>
      <c r="AF4" s="22">
        <f t="shared" ref="AF4" si="8">MAX(AC4-AE4,0)</f>
        <v>5</v>
      </c>
      <c r="AG4" s="23" t="str">
        <f>IF(SUMPRODUCT($J$65:AF$65,$J4:AF4)&lt;0.5, "Pending", IF(AF4&lt;0.5, "Complete", "In Progress"))</f>
        <v>In Progress</v>
      </c>
      <c r="AH4" s="22">
        <v>0</v>
      </c>
      <c r="AI4" s="22">
        <f t="shared" ref="AI4" si="9">MAX(AF4-AH4,0)</f>
        <v>5</v>
      </c>
      <c r="AJ4" s="23" t="str">
        <f>IF(SUMPRODUCT($J$65:AI$65,$J4:AI4)&lt;0.5, "Pending", IF(AI4&lt;0.5, "Complete", "In Progress"))</f>
        <v>In Progress</v>
      </c>
      <c r="AK4" s="22">
        <v>0</v>
      </c>
      <c r="AL4" s="22">
        <f t="shared" ref="AL4" si="10">MAX(AI4-AK4,0)</f>
        <v>5</v>
      </c>
      <c r="AM4" s="23" t="str">
        <f>IF(SUMPRODUCT($J$65:AL$65,$J4:AL4)&lt;0.5, "Pending", IF(AL4&lt;0.5, "Complete", "In Progress"))</f>
        <v>In Progress</v>
      </c>
      <c r="AN4" s="22">
        <v>0</v>
      </c>
      <c r="AO4" s="22">
        <f t="shared" ref="AO4" si="11">MAX(AL4-AN4,0)</f>
        <v>5</v>
      </c>
      <c r="AP4" s="23" t="str">
        <f>IF(SUMPRODUCT($J$65:AO$65,$J4:AO4)&lt;0.5, "Pending", IF(AO4&lt;0.5, "Complete", "In Progress"))</f>
        <v>In Progress</v>
      </c>
      <c r="AQ4" s="22">
        <v>0</v>
      </c>
      <c r="AR4" s="22">
        <f t="shared" ref="AR4" si="12">MAX(AO4-AQ4,0)</f>
        <v>5</v>
      </c>
      <c r="AS4" s="23" t="str">
        <f>IF(SUMPRODUCT($J$65:AR$65,$J4:AR4)&lt;0.5, "Pending", IF(AR4&lt;0.5, "Complete", "In Progress"))</f>
        <v>In Progress</v>
      </c>
      <c r="AT4" s="22">
        <v>0</v>
      </c>
      <c r="AU4" s="22">
        <f t="shared" ref="AU4" si="13">MAX(AR4-AT4,0)</f>
        <v>5</v>
      </c>
      <c r="AV4" s="23" t="str">
        <f>IF(SUMPRODUCT($J$65:AU$65,$J4:AU4)&lt;0.5, "Pending", IF(AU4&lt;0.5, "Complete", "In Progress"))</f>
        <v>In Progress</v>
      </c>
      <c r="AW4" s="22">
        <v>0</v>
      </c>
      <c r="AX4" s="22">
        <f t="shared" ref="AX4" si="14">MAX(AU4-AW4,0)</f>
        <v>5</v>
      </c>
      <c r="AY4" s="23" t="str">
        <f>IF(SUMPRODUCT($J$65:AX$65,$J4:AX4)&lt;0.5,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IF(SUMPRODUCT($J$65:BA$65,$J4:BA4)&lt;0.5,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IF(SUMPRODUCT($J$65:BD$65,$J4:BD4)&lt;0.5,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IF(SUMPRODUCT($J$65:BG$65,$J4:BG4)&lt;0.5,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IF(SUMPRODUCT($J$65:BJ$65,$J4:BJ4)&lt;0.5,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IF(SUMPRODUCT($J$65:BM$65,$J4:BM4)&lt;0.5,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IF(SUMPRODUCT($J$65:BP$65,$J4:BP4)&lt;0.5,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IF(SUMPRODUCT($J$65:BS$65,$J4:BS4)&lt;0.5,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IF(SUMPRODUCT($J$65:BV$65,$J4:BV4)&lt;0.5,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IF(SUMPRODUCT($J$65:BY$65,$J4:BY4)&lt;0.5,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IF(SUMPRODUCT($J$65:CB$65,$J4:CB4)&lt;0.5, "Pending", IF(CB4&lt;0.5, "Complete", "In Progress"))</f>
        <v>#REF!</v>
      </c>
      <c r="CD4" s="24"/>
      <c r="CE4" s="25">
        <f>SUMPRODUCT($H$65:AY$65,$H4:AY4)</f>
        <v>11</v>
      </c>
    </row>
    <row r="5" spans="1:83">
      <c r="A5" s="16"/>
      <c r="B5" s="16"/>
      <c r="C5" s="16"/>
      <c r="D5" s="17"/>
      <c r="E5" s="178"/>
      <c r="F5" s="18" t="s">
        <v>128</v>
      </c>
      <c r="G5" s="19" t="str">
        <f t="shared" ca="1" si="0"/>
        <v>Pending</v>
      </c>
      <c r="H5" s="20">
        <v>1</v>
      </c>
      <c r="I5" s="21">
        <v>0</v>
      </c>
      <c r="J5" s="22">
        <v>0</v>
      </c>
      <c r="K5" s="22">
        <f t="shared" ref="K5:K61" si="24">MAX(I5-J5, 0)</f>
        <v>0</v>
      </c>
      <c r="L5" s="23" t="str">
        <f>IF(SUMPRODUCT($J$65:K$65,$J5:K5)&lt;0.5, "Pending", IF(K5&lt;0.5, "Complete", "In Progress"))</f>
        <v>Pending</v>
      </c>
      <c r="M5" s="22">
        <v>0</v>
      </c>
      <c r="N5" s="22">
        <f t="shared" ref="N5:N61" si="25">MAX(K5-M5,0)</f>
        <v>0</v>
      </c>
      <c r="O5" s="23" t="str">
        <f>IF(SUMPRODUCT($J$65:N$65,$J5:N5)&lt;0.5, "Pending", IF(N5&lt;0.5, "Complete", "In Progress"))</f>
        <v>Pending</v>
      </c>
      <c r="P5" s="22">
        <v>0</v>
      </c>
      <c r="Q5" s="22">
        <f t="shared" ref="Q5:Q61" si="26">MAX(N5-P5,0)</f>
        <v>0</v>
      </c>
      <c r="R5" s="23" t="str">
        <f>IF(SUMPRODUCT($J$65:Q$65,$J5:Q5)&lt;0.5, "Pending", IF(Q5&lt;0.5, "Complete", "In Progress"))</f>
        <v>Pending</v>
      </c>
      <c r="S5" s="22">
        <v>0</v>
      </c>
      <c r="T5" s="22">
        <f t="shared" ref="T5:T61" si="27">MAX(Q5-S5,0)</f>
        <v>0</v>
      </c>
      <c r="U5" s="23" t="str">
        <f>IF(SUMPRODUCT($J$65:T$65,$J5:T5)&lt;0.5, "Pending", IF(T5&lt;0.5, "Complete", "In Progress"))</f>
        <v>Pending</v>
      </c>
      <c r="V5" s="22">
        <v>0</v>
      </c>
      <c r="W5" s="22">
        <f t="shared" ref="W5:W61" si="28">MAX(T5-V5,0)</f>
        <v>0</v>
      </c>
      <c r="X5" s="23" t="str">
        <f>IF(SUMPRODUCT($J$65:W$65,$J5:W5)&lt;0.5, "Pending", IF(W5&lt;0.5, "Complete", "In Progress"))</f>
        <v>Pending</v>
      </c>
      <c r="Y5" s="22">
        <v>0</v>
      </c>
      <c r="Z5" s="22">
        <f t="shared" ref="Z5:Z61" si="29">MAX(W5-Y5,0)</f>
        <v>0</v>
      </c>
      <c r="AA5" s="23" t="str">
        <f>IF(SUMPRODUCT($J$65:Z$65,$J5:Z5)&lt;0.5, "Pending", IF(Z5&lt;0.5, "Complete", "In Progress"))</f>
        <v>Pending</v>
      </c>
      <c r="AB5" s="22">
        <v>0</v>
      </c>
      <c r="AC5" s="22">
        <f t="shared" ref="AC5:AC61" si="30">MAX(Z5-AB5,0)</f>
        <v>0</v>
      </c>
      <c r="AD5" s="23" t="str">
        <f>IF(SUMPRODUCT($J$65:AC$65,$J5:AC5)&lt;0.5, "Pending", IF(AC5&lt;0.5, "Complete", "In Progress"))</f>
        <v>Pending</v>
      </c>
      <c r="AE5" s="22">
        <v>0</v>
      </c>
      <c r="AF5" s="22">
        <f t="shared" ref="AF5:AF61" si="31">MAX(AC5-AE5,0)</f>
        <v>0</v>
      </c>
      <c r="AG5" s="23" t="str">
        <f>IF(SUMPRODUCT($J$65:AF$65,$J5:AF5)&lt;0.5, "Pending", IF(AF5&lt;0.5, "Complete", "In Progress"))</f>
        <v>Pending</v>
      </c>
      <c r="AH5" s="22">
        <v>0</v>
      </c>
      <c r="AI5" s="22">
        <f t="shared" ref="AI5:AI61" si="32">MAX(AF5-AH5,0)</f>
        <v>0</v>
      </c>
      <c r="AJ5" s="23" t="str">
        <f>IF(SUMPRODUCT($J$65:AI$65,$J5:AI5)&lt;0.5, "Pending", IF(AI5&lt;0.5, "Complete", "In Progress"))</f>
        <v>Pending</v>
      </c>
      <c r="AK5" s="22">
        <v>0</v>
      </c>
      <c r="AL5" s="22">
        <f t="shared" ref="AL5:AL61" si="33">MAX(AI5-AK5,0)</f>
        <v>0</v>
      </c>
      <c r="AM5" s="23" t="str">
        <f>IF(SUMPRODUCT($J$65:AL$65,$J5:AL5)&lt;0.5, "Pending", IF(AL5&lt;0.5, "Complete", "In Progress"))</f>
        <v>Pending</v>
      </c>
      <c r="AN5" s="22">
        <v>0</v>
      </c>
      <c r="AO5" s="22">
        <f t="shared" ref="AO5:AO61" si="34">MAX(AL5-AN5,0)</f>
        <v>0</v>
      </c>
      <c r="AP5" s="23" t="str">
        <f>IF(SUMPRODUCT($J$65:AO$65,$J5:AO5)&lt;0.5, "Pending", IF(AO5&lt;0.5, "Complete", "In Progress"))</f>
        <v>Pending</v>
      </c>
      <c r="AQ5" s="22">
        <v>0</v>
      </c>
      <c r="AR5" s="22">
        <f t="shared" ref="AR5:AR61" si="35">MAX(AO5-AQ5,0)</f>
        <v>0</v>
      </c>
      <c r="AS5" s="23" t="str">
        <f>IF(SUMPRODUCT($J$65:AR$65,$J5:AR5)&lt;0.5, "Pending", IF(AR5&lt;0.5, "Complete", "In Progress"))</f>
        <v>Pending</v>
      </c>
      <c r="AT5" s="22">
        <v>0</v>
      </c>
      <c r="AU5" s="22">
        <f t="shared" ref="AU5:AU61" si="36">MAX(AR5-AT5,0)</f>
        <v>0</v>
      </c>
      <c r="AV5" s="23" t="str">
        <f>IF(SUMPRODUCT($J$65:AU$65,$J5:AU5)&lt;0.5, "Pending", IF(AU5&lt;0.5, "Complete", "In Progress"))</f>
        <v>Pending</v>
      </c>
      <c r="AW5" s="22">
        <v>0</v>
      </c>
      <c r="AX5" s="22">
        <f t="shared" ref="AX5:AX61" si="37">MAX(AU5-AW5,0)</f>
        <v>0</v>
      </c>
      <c r="AY5" s="23" t="str">
        <f>IF(SUMPRODUCT($J$65:AX$65,$J5:AX5)&lt;0.5,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IF(SUMPRODUCT($J$65:BA$65,$J5:BA5)&lt;0.5, "Pending", IF(BA5&lt;0.5, "Complete", "In Progress"))</f>
        <v>#REF!</v>
      </c>
      <c r="BC5" s="22">
        <v>0</v>
      </c>
      <c r="BD5" s="22" t="e">
        <f t="shared" ref="BD5:BD61" si="38">MAX(BA5-BC5,0)</f>
        <v>#REF!</v>
      </c>
      <c r="BE5" s="23" t="e">
        <f>IF(SUMPRODUCT($J$65:BD$65,$J5:BD5)&lt;0.5, "Pending", IF(BD5&lt;0.5, "Complete", "In Progress"))</f>
        <v>#REF!</v>
      </c>
      <c r="BF5" s="22">
        <v>0</v>
      </c>
      <c r="BG5" s="22" t="e">
        <f t="shared" ref="BG5:BG61" si="39">MAX(BD5-BF5,0)</f>
        <v>#REF!</v>
      </c>
      <c r="BH5" s="23" t="e">
        <f>IF(SUMPRODUCT($J$65:BG$65,$J5:BG5)&lt;0.5, "Pending", IF(BG5&lt;0.5, "Complete", "In Progress"))</f>
        <v>#REF!</v>
      </c>
      <c r="BI5" s="22">
        <v>0</v>
      </c>
      <c r="BJ5" s="22" t="e">
        <f t="shared" ref="BJ5:BJ61" si="40">MAX(BG5-BI5,0)</f>
        <v>#REF!</v>
      </c>
      <c r="BK5" s="23" t="e">
        <f>IF(SUMPRODUCT($J$65:BJ$65,$J5:BJ5)&lt;0.5, "Pending", IF(BJ5&lt;0.5, "Complete", "In Progress"))</f>
        <v>#REF!</v>
      </c>
      <c r="BL5" s="22">
        <v>0</v>
      </c>
      <c r="BM5" s="22" t="e">
        <f t="shared" ref="BM5:BM61" si="41">MAX(BJ5-BL5,0)</f>
        <v>#REF!</v>
      </c>
      <c r="BN5" s="23" t="e">
        <f>IF(SUMPRODUCT($J$65:BM$65,$J5:BM5)&lt;0.5, "Pending", IF(BM5&lt;0.5, "Complete", "In Progress"))</f>
        <v>#REF!</v>
      </c>
      <c r="BO5" s="22">
        <v>0</v>
      </c>
      <c r="BP5" s="22" t="e">
        <f t="shared" ref="BP5:BP61" si="42">MAX(BM5-BO5,0)</f>
        <v>#REF!</v>
      </c>
      <c r="BQ5" s="23" t="e">
        <f>IF(SUMPRODUCT($J$65:BP$65,$J5:BP5)&lt;0.5, "Pending", IF(BP5&lt;0.5, "Complete", "In Progress"))</f>
        <v>#REF!</v>
      </c>
      <c r="BR5" s="22">
        <v>0</v>
      </c>
      <c r="BS5" s="22" t="e">
        <f t="shared" ref="BS5:BS61" si="43">MAX(BP5-BR5,0)</f>
        <v>#REF!</v>
      </c>
      <c r="BT5" s="23" t="e">
        <f>IF(SUMPRODUCT($J$65:BS$65,$J5:BS5)&lt;0.5, "Pending", IF(BS5&lt;0.5, "Complete", "In Progress"))</f>
        <v>#REF!</v>
      </c>
      <c r="BU5" s="22">
        <v>0</v>
      </c>
      <c r="BV5" s="22" t="e">
        <f t="shared" ref="BV5:BV61" si="44">MAX(BS5-BU5,0)</f>
        <v>#REF!</v>
      </c>
      <c r="BW5" s="23" t="e">
        <f>IF(SUMPRODUCT($J$65:BV$65,$J5:BV5)&lt;0.5, "Pending", IF(BV5&lt;0.5, "Complete", "In Progress"))</f>
        <v>#REF!</v>
      </c>
      <c r="BX5" s="22">
        <v>0</v>
      </c>
      <c r="BY5" s="22" t="e">
        <f t="shared" ref="BY5:BY61" si="45">MAX(BV5-BX5,0)</f>
        <v>#REF!</v>
      </c>
      <c r="BZ5" s="23" t="e">
        <f>IF(SUMPRODUCT($J$65:BY$65,$J5:BY5)&lt;0.5, "Pending", IF(BY5&lt;0.5, "Complete", "In Progress"))</f>
        <v>#REF!</v>
      </c>
      <c r="CA5" s="22">
        <v>0</v>
      </c>
      <c r="CB5" s="22" t="e">
        <f t="shared" ref="CB5:CB61" si="46">MAX(BY5-CA5,0)</f>
        <v>#REF!</v>
      </c>
      <c r="CC5" s="23" t="e">
        <f>IF(SUMPRODUCT($J$65:CB$65,$J5:CB5)&lt;0.5, "Pending", IF(CB5&lt;0.5, "Complete", "In Progress"))</f>
        <v>#REF!</v>
      </c>
      <c r="CD5" s="24"/>
      <c r="CE5" s="25">
        <f>SUMPRODUCT($H$65:AY$65,$H5:AY5)</f>
        <v>0</v>
      </c>
    </row>
    <row r="6" spans="1:83">
      <c r="A6" s="16"/>
      <c r="B6" s="16"/>
      <c r="C6" s="16"/>
      <c r="D6" s="17"/>
      <c r="E6" s="178"/>
      <c r="F6" s="18" t="s">
        <v>128</v>
      </c>
      <c r="G6" s="19" t="str">
        <f t="shared" ca="1" si="0"/>
        <v>Pending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IF(SUMPRODUCT($J$65:K$65,$J6:K6)&lt;0.5, "Pending", IF(K6&lt;0.5, "Complete", "In Progress"))</f>
        <v>Pending</v>
      </c>
      <c r="M6" s="22">
        <v>0</v>
      </c>
      <c r="N6" s="22">
        <f t="shared" si="25"/>
        <v>0</v>
      </c>
      <c r="O6" s="23" t="str">
        <f>IF(SUMPRODUCT($J$65:N$65,$J6:N6)&lt;0.5,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IF(SUMPRODUCT($J$65:Q$65,$J6:Q6)&lt;0.5,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IF(SUMPRODUCT($J$65:T$65,$J6:T6)&lt;0.5,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IF(SUMPRODUCT($J$65:W$65,$J6:W6)&lt;0.5,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IF(SUMPRODUCT($J$65:Z$65,$J6:Z6)&lt;0.5,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IF(SUMPRODUCT($J$65:AC$65,$J6:AC6)&lt;0.5,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IF(SUMPRODUCT($J$65:AF$65,$J6:AF6)&lt;0.5,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IF(SUMPRODUCT($J$65:AI$65,$J6:AI6)&lt;0.5,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IF(SUMPRODUCT($J$65:AL$65,$J6:AL6)&lt;0.5,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IF(SUMPRODUCT($J$65:AO$65,$J6:AO6)&lt;0.5,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IF(SUMPRODUCT($J$65:AR$65,$J6:AR6)&lt;0.5,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IF(SUMPRODUCT($J$65:AU$65,$J6:AU6)&lt;0.5,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IF(SUMPRODUCT($J$65:AX$65,$J6:AX6)&lt;0.5,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IF(SUMPRODUCT($J$65:BA$65,$J6:BA6)&lt;0.5,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IF(SUMPRODUCT($J$65:BD$65,$J6:BD6)&lt;0.5,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IF(SUMPRODUCT($J$65:BG$65,$J6:BG6)&lt;0.5,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IF(SUMPRODUCT($J$65:BJ$65,$J6:BJ6)&lt;0.5,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IF(SUMPRODUCT($J$65:BM$65,$J6:BM6)&lt;0.5,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IF(SUMPRODUCT($J$65:BP$65,$J6:BP6)&lt;0.5,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IF(SUMPRODUCT($J$65:BS$65,$J6:BS6)&lt;0.5,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IF(SUMPRODUCT($J$65:BV$65,$J6:BV6)&lt;0.5,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IF(SUMPRODUCT($J$65:BY$65,$J6:BY6)&lt;0.5,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IF(SUMPRODUCT($J$65:CB$65,$J6:CB6)&lt;0.5, "Pending", IF(CB6&lt;0.5, "Complete", "In Progress"))</f>
        <v>#REF!</v>
      </c>
      <c r="CD6" s="24"/>
      <c r="CE6" s="25">
        <f>SUMPRODUCT($H$65:AY$65,$H6:AY6)</f>
        <v>0</v>
      </c>
    </row>
    <row r="7" spans="1:83">
      <c r="A7" s="16"/>
      <c r="B7" s="16"/>
      <c r="C7" s="16"/>
      <c r="D7" s="17"/>
      <c r="E7" s="178"/>
      <c r="F7" s="18" t="s">
        <v>128</v>
      </c>
      <c r="G7" s="19" t="str">
        <f t="shared" ca="1" si="0"/>
        <v>Pending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IF(SUMPRODUCT($J$65:K$65,$J7:K7)&lt;0.5,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IF(SUMPRODUCT($J$65:N$65,$J7:N7)&lt;0.5,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IF(SUMPRODUCT($J$65:Q$65,$J7:Q7)&lt;0.5,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IF(SUMPRODUCT($J$65:T$65,$J7:T7)&lt;0.5,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IF(SUMPRODUCT($J$65:W$65,$J7:W7)&lt;0.5,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IF(SUMPRODUCT($J$65:Z$65,$J7:Z7)&lt;0.5,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IF(SUMPRODUCT($J$65:AC$65,$J7:AC7)&lt;0.5,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IF(SUMPRODUCT($J$65:AF$65,$J7:AF7)&lt;0.5,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IF(SUMPRODUCT($J$65:AI$65,$J7:AI7)&lt;0.5,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IF(SUMPRODUCT($J$65:AL$65,$J7:AL7)&lt;0.5,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IF(SUMPRODUCT($J$65:AO$65,$J7:AO7)&lt;0.5,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IF(SUMPRODUCT($J$65:AR$65,$J7:AR7)&lt;0.5,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IF(SUMPRODUCT($J$65:AU$65,$J7:AU7)&lt;0.5,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IF(SUMPRODUCT($J$65:AX$65,$J7:AX7)&lt;0.5,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IF(SUMPRODUCT($J$65:BA$65,$J7:BA7)&lt;0.5,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IF(SUMPRODUCT($J$65:BD$65,$J7:BD7)&lt;0.5,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IF(SUMPRODUCT($J$65:BG$65,$J7:BG7)&lt;0.5,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IF(SUMPRODUCT($J$65:BJ$65,$J7:BJ7)&lt;0.5,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IF(SUMPRODUCT($J$65:BM$65,$J7:BM7)&lt;0.5,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IF(SUMPRODUCT($J$65:BP$65,$J7:BP7)&lt;0.5,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IF(SUMPRODUCT($J$65:BS$65,$J7:BS7)&lt;0.5,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IF(SUMPRODUCT($J$65:BV$65,$J7:BV7)&lt;0.5,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IF(SUMPRODUCT($J$65:BY$65,$J7:BY7)&lt;0.5,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IF(SUMPRODUCT($J$65:CB$65,$J7:CB7)&lt;0.5, "Pending", IF(CB7&lt;0.5, "Complete", "In Progress"))</f>
        <v>#REF!</v>
      </c>
      <c r="CD7" s="24"/>
      <c r="CE7" s="25">
        <f>SUMPRODUCT($H$65:AY$65,$H7:AY7)</f>
        <v>0</v>
      </c>
    </row>
    <row r="8" spans="1:83">
      <c r="A8" s="16"/>
      <c r="B8" s="16"/>
      <c r="C8" s="16"/>
      <c r="D8" s="17"/>
      <c r="E8" s="178"/>
      <c r="F8" s="18" t="s">
        <v>128</v>
      </c>
      <c r="G8" s="19" t="str">
        <f t="shared" ca="1" si="0"/>
        <v>Pending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IF(SUMPRODUCT($J$65:K$65,$J8:K8)&lt;0.5,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IF(SUMPRODUCT($J$65:N$65,$J8:N8)&lt;0.5,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IF(SUMPRODUCT($J$65:Q$65,$J8:Q8)&lt;0.5,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IF(SUMPRODUCT($J$65:T$65,$J8:T8)&lt;0.5,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IF(SUMPRODUCT($J$65:W$65,$J8:W8)&lt;0.5,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IF(SUMPRODUCT($J$65:Z$65,$J8:Z8)&lt;0.5,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IF(SUMPRODUCT($J$65:AC$65,$J8:AC8)&lt;0.5,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IF(SUMPRODUCT($J$65:AF$65,$J8:AF8)&lt;0.5,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IF(SUMPRODUCT($J$65:AI$65,$J8:AI8)&lt;0.5,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IF(SUMPRODUCT($J$65:AL$65,$J8:AL8)&lt;0.5,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IF(SUMPRODUCT($J$65:AO$65,$J8:AO8)&lt;0.5,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IF(SUMPRODUCT($J$65:AR$65,$J8:AR8)&lt;0.5,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IF(SUMPRODUCT($J$65:AU$65,$J8:AU8)&lt;0.5,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IF(SUMPRODUCT($J$65:AX$65,$J8:AX8)&lt;0.5,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IF(SUMPRODUCT($J$65:BA$65,$J8:BA8)&lt;0.5,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IF(SUMPRODUCT($J$65:BD$65,$J8:BD8)&lt;0.5,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IF(SUMPRODUCT($J$65:BG$65,$J8:BG8)&lt;0.5,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IF(SUMPRODUCT($J$65:BJ$65,$J8:BJ8)&lt;0.5,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IF(SUMPRODUCT($J$65:BM$65,$J8:BM8)&lt;0.5,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IF(SUMPRODUCT($J$65:BP$65,$J8:BP8)&lt;0.5,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IF(SUMPRODUCT($J$65:BS$65,$J8:BS8)&lt;0.5,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IF(SUMPRODUCT($J$65:BV$65,$J8:BV8)&lt;0.5,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IF(SUMPRODUCT($J$65:BY$65,$J8:BY8)&lt;0.5,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IF(SUMPRODUCT($J$65:CB$65,$J8:CB8)&lt;0.5, "Pending", IF(CB8&lt;0.5, "Complete", "In Progress"))</f>
        <v>#REF!</v>
      </c>
      <c r="CD8" s="24"/>
      <c r="CE8" s="25">
        <f>SUMPRODUCT($H$65:AY$65,$H8:AY8)</f>
        <v>0</v>
      </c>
    </row>
    <row r="9" spans="1:83">
      <c r="A9" s="16"/>
      <c r="B9" s="16"/>
      <c r="C9" s="16"/>
      <c r="D9" s="17"/>
      <c r="E9" s="178"/>
      <c r="F9" s="18" t="s">
        <v>128</v>
      </c>
      <c r="G9" s="19" t="str">
        <f t="shared" ca="1" si="0"/>
        <v>Pending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IF(SUMPRODUCT($J$65:K$65,$J9:K9)&lt;0.5,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IF(SUMPRODUCT($J$65:N$65,$J9:N9)&lt;0.5,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IF(SUMPRODUCT($J$65:Q$65,$J9:Q9)&lt;0.5,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IF(SUMPRODUCT($J$65:T$65,$J9:T9)&lt;0.5,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IF(SUMPRODUCT($J$65:W$65,$J9:W9)&lt;0.5,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IF(SUMPRODUCT($J$65:Z$65,$J9:Z9)&lt;0.5,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IF(SUMPRODUCT($J$65:AC$65,$J9:AC9)&lt;0.5,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IF(SUMPRODUCT($J$65:AF$65,$J9:AF9)&lt;0.5,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IF(SUMPRODUCT($J$65:AI$65,$J9:AI9)&lt;0.5,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IF(SUMPRODUCT($J$65:AL$65,$J9:AL9)&lt;0.5,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IF(SUMPRODUCT($J$65:AO$65,$J9:AO9)&lt;0.5,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IF(SUMPRODUCT($J$65:AR$65,$J9:AR9)&lt;0.5,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IF(SUMPRODUCT($J$65:AU$65,$J9:AU9)&lt;0.5,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IF(SUMPRODUCT($J$65:AX$65,$J9:AX9)&lt;0.5,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IF(SUMPRODUCT($J$65:BA$65,$J9:BA9)&lt;0.5,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IF(SUMPRODUCT($J$65:BD$65,$J9:BD9)&lt;0.5,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IF(SUMPRODUCT($J$65:BG$65,$J9:BG9)&lt;0.5,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IF(SUMPRODUCT($J$65:BJ$65,$J9:BJ9)&lt;0.5,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IF(SUMPRODUCT($J$65:BM$65,$J9:BM9)&lt;0.5,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IF(SUMPRODUCT($J$65:BP$65,$J9:BP9)&lt;0.5,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IF(SUMPRODUCT($J$65:BS$65,$J9:BS9)&lt;0.5,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IF(SUMPRODUCT($J$65:BV$65,$J9:BV9)&lt;0.5,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IF(SUMPRODUCT($J$65:BY$65,$J9:BY9)&lt;0.5,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IF(SUMPRODUCT($J$65:CB$65,$J9:CB9)&lt;0.5, "Pending", IF(CB9&lt;0.5, "Complete", "In Progress"))</f>
        <v>#REF!</v>
      </c>
      <c r="CD9" s="24"/>
      <c r="CE9" s="25">
        <f>SUMPRODUCT($H$65:AY$65,$H9:AY9)</f>
        <v>0</v>
      </c>
    </row>
    <row r="10" spans="1:83">
      <c r="A10" s="16"/>
      <c r="B10" s="16"/>
      <c r="C10" s="16"/>
      <c r="D10" s="17"/>
      <c r="E10" s="178"/>
      <c r="F10" s="18" t="s">
        <v>128</v>
      </c>
      <c r="G10" s="19" t="str">
        <f t="shared" ca="1" si="0"/>
        <v>Pending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IF(SUMPRODUCT($J$65:K$65,$J10:K10)&lt;0.5,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IF(SUMPRODUCT($J$65:N$65,$J10:N10)&lt;0.5,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IF(SUMPRODUCT($J$65:Q$65,$J10:Q10)&lt;0.5,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IF(SUMPRODUCT($J$65:T$65,$J10:T10)&lt;0.5,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IF(SUMPRODUCT($J$65:W$65,$J10:W10)&lt;0.5,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IF(SUMPRODUCT($J$65:Z$65,$J10:Z10)&lt;0.5,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IF(SUMPRODUCT($J$65:AC$65,$J10:AC10)&lt;0.5,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IF(SUMPRODUCT($J$65:AF$65,$J10:AF10)&lt;0.5,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IF(SUMPRODUCT($J$65:AI$65,$J10:AI10)&lt;0.5,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IF(SUMPRODUCT($J$65:AL$65,$J10:AL10)&lt;0.5,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IF(SUMPRODUCT($J$65:AO$65,$J10:AO10)&lt;0.5,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IF(SUMPRODUCT($J$65:AR$65,$J10:AR10)&lt;0.5,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IF(SUMPRODUCT($J$65:AU$65,$J10:AU10)&lt;0.5,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IF(SUMPRODUCT($J$65:AX$65,$J10:AX10)&lt;0.5,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IF(SUMPRODUCT($J$65:BA$65,$J10:BA10)&lt;0.5,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IF(SUMPRODUCT($J$65:BD$65,$J10:BD10)&lt;0.5,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IF(SUMPRODUCT($J$65:BG$65,$J10:BG10)&lt;0.5,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IF(SUMPRODUCT($J$65:BJ$65,$J10:BJ10)&lt;0.5,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IF(SUMPRODUCT($J$65:BM$65,$J10:BM10)&lt;0.5,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IF(SUMPRODUCT($J$65:BP$65,$J10:BP10)&lt;0.5,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IF(SUMPRODUCT($J$65:BS$65,$J10:BS10)&lt;0.5,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IF(SUMPRODUCT($J$65:BV$65,$J10:BV10)&lt;0.5,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IF(SUMPRODUCT($J$65:BY$65,$J10:BY10)&lt;0.5,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IF(SUMPRODUCT($J$65:CB$65,$J10:CB10)&lt;0.5, "Pending", IF(CB10&lt;0.5, "Complete", "In Progress"))</f>
        <v>#REF!</v>
      </c>
      <c r="CD10" s="24"/>
      <c r="CE10" s="25">
        <f>SUMPRODUCT($H$65:AY$65,$H10:AY10)</f>
        <v>0</v>
      </c>
    </row>
    <row r="11" spans="1:83">
      <c r="A11" s="16"/>
      <c r="B11" s="16"/>
      <c r="C11" s="16"/>
      <c r="D11" s="17"/>
      <c r="E11" s="178"/>
      <c r="F11" s="18" t="s">
        <v>128</v>
      </c>
      <c r="G11" s="19" t="str">
        <f t="shared" ca="1" si="0"/>
        <v>Pending</v>
      </c>
      <c r="H11" s="20">
        <v>1</v>
      </c>
      <c r="I11" s="21">
        <v>0</v>
      </c>
      <c r="J11" s="22">
        <v>0</v>
      </c>
      <c r="K11" s="22">
        <f t="shared" ref="K11" si="47">MAX(I11-J11, 0)</f>
        <v>0</v>
      </c>
      <c r="L11" s="23" t="str">
        <f>IF(SUMPRODUCT($J$65:K$65,$J11:K11)&lt;0.5, "Pending", IF(K11&lt;0.5, "Complete", "In Progress"))</f>
        <v>Pending</v>
      </c>
      <c r="M11" s="22">
        <v>0</v>
      </c>
      <c r="N11" s="22">
        <f t="shared" ref="N11" si="48">MAX(K11-M11,0)</f>
        <v>0</v>
      </c>
      <c r="O11" s="23" t="str">
        <f>IF(SUMPRODUCT($J$65:N$65,$J11:N11)&lt;0.5, "Pending", IF(N11&lt;0.5, "Complete", "In Progress"))</f>
        <v>Pending</v>
      </c>
      <c r="P11" s="22">
        <v>0</v>
      </c>
      <c r="Q11" s="22">
        <f t="shared" ref="Q11" si="49">MAX(N11-P11,0)</f>
        <v>0</v>
      </c>
      <c r="R11" s="23" t="str">
        <f>IF(SUMPRODUCT($J$65:Q$65,$J11:Q11)&lt;0.5, "Pending", IF(Q11&lt;0.5, "Complete", "In Progress"))</f>
        <v>Pending</v>
      </c>
      <c r="S11" s="22">
        <v>0</v>
      </c>
      <c r="T11" s="22">
        <f t="shared" ref="T11" si="50">MAX(Q11-S11,0)</f>
        <v>0</v>
      </c>
      <c r="U11" s="23" t="str">
        <f>IF(SUMPRODUCT($J$65:T$65,$J11:T11)&lt;0.5, "Pending", IF(T11&lt;0.5, "Complete", "In Progress"))</f>
        <v>Pending</v>
      </c>
      <c r="V11" s="22">
        <v>0</v>
      </c>
      <c r="W11" s="22">
        <f t="shared" ref="W11" si="51">MAX(T11-V11,0)</f>
        <v>0</v>
      </c>
      <c r="X11" s="23" t="str">
        <f>IF(SUMPRODUCT($J$65:W$65,$J11:W11)&lt;0.5, "Pending", IF(W11&lt;0.5, "Complete", "In Progress"))</f>
        <v>Pending</v>
      </c>
      <c r="Y11" s="22">
        <v>0</v>
      </c>
      <c r="Z11" s="22">
        <f t="shared" ref="Z11" si="52">MAX(W11-Y11,0)</f>
        <v>0</v>
      </c>
      <c r="AA11" s="23" t="str">
        <f>IF(SUMPRODUCT($J$65:Z$65,$J11:Z11)&lt;0.5, "Pending", IF(Z11&lt;0.5, "Complete", "In Progress"))</f>
        <v>Pending</v>
      </c>
      <c r="AB11" s="22">
        <v>0</v>
      </c>
      <c r="AC11" s="22">
        <f t="shared" ref="AC11" si="53">MAX(Z11-AB11,0)</f>
        <v>0</v>
      </c>
      <c r="AD11" s="23" t="str">
        <f>IF(SUMPRODUCT($J$65:AC$65,$J11:AC11)&lt;0.5, "Pending", IF(AC11&lt;0.5, "Complete", "In Progress"))</f>
        <v>Pending</v>
      </c>
      <c r="AE11" s="22">
        <v>0</v>
      </c>
      <c r="AF11" s="22">
        <f t="shared" ref="AF11" si="54">MAX(AC11-AE11,0)</f>
        <v>0</v>
      </c>
      <c r="AG11" s="23" t="str">
        <f>IF(SUMPRODUCT($J$65:AF$65,$J11:AF11)&lt;0.5, "Pending", IF(AF11&lt;0.5, "Complete", "In Progress"))</f>
        <v>Pending</v>
      </c>
      <c r="AH11" s="22">
        <v>0</v>
      </c>
      <c r="AI11" s="22">
        <f t="shared" ref="AI11" si="55">MAX(AF11-AH11,0)</f>
        <v>0</v>
      </c>
      <c r="AJ11" s="23" t="str">
        <f>IF(SUMPRODUCT($J$65:AI$65,$J11:AI11)&lt;0.5, "Pending", IF(AI11&lt;0.5, "Complete", "In Progress"))</f>
        <v>Pending</v>
      </c>
      <c r="AK11" s="22">
        <v>0</v>
      </c>
      <c r="AL11" s="22">
        <f t="shared" ref="AL11" si="56">MAX(AI11-AK11,0)</f>
        <v>0</v>
      </c>
      <c r="AM11" s="23" t="str">
        <f>IF(SUMPRODUCT($J$65:AL$65,$J11:AL11)&lt;0.5, "Pending", IF(AL11&lt;0.5, "Complete", "In Progress"))</f>
        <v>Pending</v>
      </c>
      <c r="AN11" s="22">
        <v>0</v>
      </c>
      <c r="AO11" s="22">
        <f t="shared" ref="AO11" si="57">MAX(AL11-AN11,0)</f>
        <v>0</v>
      </c>
      <c r="AP11" s="23" t="str">
        <f>IF(SUMPRODUCT($J$65:AO$65,$J11:AO11)&lt;0.5, "Pending", IF(AO11&lt;0.5, "Complete", "In Progress"))</f>
        <v>Pending</v>
      </c>
      <c r="AQ11" s="22">
        <v>0</v>
      </c>
      <c r="AR11" s="22">
        <f t="shared" ref="AR11" si="58">MAX(AO11-AQ11,0)</f>
        <v>0</v>
      </c>
      <c r="AS11" s="23" t="str">
        <f>IF(SUMPRODUCT($J$65:AR$65,$J11:AR11)&lt;0.5, "Pending", IF(AR11&lt;0.5, "Complete", "In Progress"))</f>
        <v>Pending</v>
      </c>
      <c r="AT11" s="22">
        <v>0</v>
      </c>
      <c r="AU11" s="22">
        <f t="shared" ref="AU11" si="59">MAX(AR11-AT11,0)</f>
        <v>0</v>
      </c>
      <c r="AV11" s="23" t="str">
        <f>IF(SUMPRODUCT($J$65:AU$65,$J11:AU11)&lt;0.5, "Pending", IF(AU11&lt;0.5, "Complete", "In Progress"))</f>
        <v>Pending</v>
      </c>
      <c r="AW11" s="22">
        <v>0</v>
      </c>
      <c r="AX11" s="22">
        <f t="shared" ref="AX11" si="60">MAX(AU11-AW11,0)</f>
        <v>0</v>
      </c>
      <c r="AY11" s="23" t="str">
        <f>IF(SUMPRODUCT($J$65:AX$65,$J11:AX11)&lt;0.5,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IF(SUMPRODUCT($J$65:BA$65,$J11:BA11)&lt;0.5, "Pending", IF(BA11&lt;0.5, "Complete", "In Progress"))</f>
        <v>#REF!</v>
      </c>
      <c r="BC11" s="22">
        <v>0</v>
      </c>
      <c r="BD11" s="22" t="e">
        <f t="shared" ref="BD11" si="61">MAX(BA11-BC11,0)</f>
        <v>#REF!</v>
      </c>
      <c r="BE11" s="23" t="e">
        <f>IF(SUMPRODUCT($J$65:BD$65,$J11:BD11)&lt;0.5, "Pending", IF(BD11&lt;0.5, "Complete", "In Progress"))</f>
        <v>#REF!</v>
      </c>
      <c r="BF11" s="22">
        <v>0</v>
      </c>
      <c r="BG11" s="22" t="e">
        <f t="shared" ref="BG11" si="62">MAX(BD11-BF11,0)</f>
        <v>#REF!</v>
      </c>
      <c r="BH11" s="23" t="e">
        <f>IF(SUMPRODUCT($J$65:BG$65,$J11:BG11)&lt;0.5, "Pending", IF(BG11&lt;0.5, "Complete", "In Progress"))</f>
        <v>#REF!</v>
      </c>
      <c r="BI11" s="22">
        <v>0</v>
      </c>
      <c r="BJ11" s="22" t="e">
        <f t="shared" ref="BJ11" si="63">MAX(BG11-BI11,0)</f>
        <v>#REF!</v>
      </c>
      <c r="BK11" s="23" t="e">
        <f>IF(SUMPRODUCT($J$65:BJ$65,$J11:BJ11)&lt;0.5, "Pending", IF(BJ11&lt;0.5, "Complete", "In Progress"))</f>
        <v>#REF!</v>
      </c>
      <c r="BL11" s="22">
        <v>0</v>
      </c>
      <c r="BM11" s="22" t="e">
        <f t="shared" ref="BM11" si="64">MAX(BJ11-BL11,0)</f>
        <v>#REF!</v>
      </c>
      <c r="BN11" s="23" t="e">
        <f>IF(SUMPRODUCT($J$65:BM$65,$J11:BM11)&lt;0.5, "Pending", IF(BM11&lt;0.5, "Complete", "In Progress"))</f>
        <v>#REF!</v>
      </c>
      <c r="BO11" s="22">
        <v>0</v>
      </c>
      <c r="BP11" s="22" t="e">
        <f t="shared" ref="BP11" si="65">MAX(BM11-BO11,0)</f>
        <v>#REF!</v>
      </c>
      <c r="BQ11" s="23" t="e">
        <f>IF(SUMPRODUCT($J$65:BP$65,$J11:BP11)&lt;0.5, "Pending", IF(BP11&lt;0.5, "Complete", "In Progress"))</f>
        <v>#REF!</v>
      </c>
      <c r="BR11" s="22">
        <v>0</v>
      </c>
      <c r="BS11" s="22" t="e">
        <f t="shared" ref="BS11" si="66">MAX(BP11-BR11,0)</f>
        <v>#REF!</v>
      </c>
      <c r="BT11" s="23" t="e">
        <f>IF(SUMPRODUCT($J$65:BS$65,$J11:BS11)&lt;0.5, "Pending", IF(BS11&lt;0.5, "Complete", "In Progress"))</f>
        <v>#REF!</v>
      </c>
      <c r="BU11" s="22">
        <v>0</v>
      </c>
      <c r="BV11" s="22" t="e">
        <f t="shared" ref="BV11" si="67">MAX(BS11-BU11,0)</f>
        <v>#REF!</v>
      </c>
      <c r="BW11" s="23" t="e">
        <f>IF(SUMPRODUCT($J$65:BV$65,$J11:BV11)&lt;0.5, "Pending", IF(BV11&lt;0.5, "Complete", "In Progress"))</f>
        <v>#REF!</v>
      </c>
      <c r="BX11" s="22">
        <v>0</v>
      </c>
      <c r="BY11" s="22" t="e">
        <f t="shared" ref="BY11" si="68">MAX(BV11-BX11,0)</f>
        <v>#REF!</v>
      </c>
      <c r="BZ11" s="23" t="e">
        <f>IF(SUMPRODUCT($J$65:BY$65,$J11:BY11)&lt;0.5, "Pending", IF(BY11&lt;0.5, "Complete", "In Progress"))</f>
        <v>#REF!</v>
      </c>
      <c r="CA11" s="22">
        <v>0</v>
      </c>
      <c r="CB11" s="22" t="e">
        <f t="shared" ref="CB11" si="69">MAX(BY11-CA11,0)</f>
        <v>#REF!</v>
      </c>
      <c r="CC11" s="23" t="e">
        <f>IF(SUMPRODUCT($J$65:CB$65,$J11:CB11)&lt;0.5, "Pending", IF(CB11&lt;0.5, "Complete", "In Progress"))</f>
        <v>#REF!</v>
      </c>
      <c r="CD11" s="24"/>
      <c r="CE11" s="25">
        <f>SUMPRODUCT($H$65:AY$65,$H11:AY11)</f>
        <v>0</v>
      </c>
    </row>
    <row r="12" spans="1:83">
      <c r="A12" s="16"/>
      <c r="B12" s="16"/>
      <c r="C12" s="16"/>
      <c r="D12" s="17"/>
      <c r="E12" s="178"/>
      <c r="F12" s="18" t="s">
        <v>128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IF(SUMPRODUCT($J$65:K$65,$J12:K12)&lt;0.5,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IF(SUMPRODUCT($J$65:N$65,$J12:N12)&lt;0.5,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IF(SUMPRODUCT($J$65:Q$65,$J12:Q12)&lt;0.5,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IF(SUMPRODUCT($J$65:T$65,$J12:T12)&lt;0.5,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IF(SUMPRODUCT($J$65:W$65,$J12:W12)&lt;0.5,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IF(SUMPRODUCT($J$65:Z$65,$J12:Z12)&lt;0.5,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IF(SUMPRODUCT($J$65:AC$65,$J12:AC12)&lt;0.5,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IF(SUMPRODUCT($J$65:AF$65,$J12:AF12)&lt;0.5,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IF(SUMPRODUCT($J$65:AI$65,$J12:AI12)&lt;0.5,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IF(SUMPRODUCT($J$65:AL$65,$J12:AL12)&lt;0.5,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IF(SUMPRODUCT($J$65:AO$65,$J12:AO12)&lt;0.5,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IF(SUMPRODUCT($J$65:AR$65,$J12:AR12)&lt;0.5,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IF(SUMPRODUCT($J$65:AU$65,$J12:AU12)&lt;0.5,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IF(SUMPRODUCT($J$65:AX$65,$J12:AX12)&lt;0.5,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IF(SUMPRODUCT($J$65:BA$65,$J12:BA12)&lt;0.5,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IF(SUMPRODUCT($J$65:BD$65,$J12:BD12)&lt;0.5,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IF(SUMPRODUCT($J$65:BG$65,$J12:BG12)&lt;0.5,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IF(SUMPRODUCT($J$65:BJ$65,$J12:BJ12)&lt;0.5,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IF(SUMPRODUCT($J$65:BM$65,$J12:BM12)&lt;0.5,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IF(SUMPRODUCT($J$65:BP$65,$J12:BP12)&lt;0.5,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IF(SUMPRODUCT($J$65:BS$65,$J12:BS12)&lt;0.5,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IF(SUMPRODUCT($J$65:BV$65,$J12:BV12)&lt;0.5,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IF(SUMPRODUCT($J$65:BY$65,$J12:BY12)&lt;0.5,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IF(SUMPRODUCT($J$65:CB$65,$J12:CB12)&lt;0.5, "Pending", IF(CB12&lt;0.5, "Complete", "In Progress"))</f>
        <v>#REF!</v>
      </c>
      <c r="CD12" s="24"/>
      <c r="CE12" s="25">
        <f>SUMPRODUCT($H$65:AY$65,$H12:AY12)</f>
        <v>0</v>
      </c>
    </row>
    <row r="13" spans="1:83">
      <c r="A13" s="16"/>
      <c r="B13" s="16"/>
      <c r="C13" s="16"/>
      <c r="D13" s="17"/>
      <c r="E13" s="178"/>
      <c r="F13" s="18" t="s">
        <v>128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IF(SUMPRODUCT($J$65:K$65,$J13:K13)&lt;0.5,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IF(SUMPRODUCT($J$65:N$65,$J13:N13)&lt;0.5,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IF(SUMPRODUCT($J$65:Q$65,$J13:Q13)&lt;0.5,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IF(SUMPRODUCT($J$65:T$65,$J13:T13)&lt;0.5,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IF(SUMPRODUCT($J$65:W$65,$J13:W13)&lt;0.5,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IF(SUMPRODUCT($J$65:Z$65,$J13:Z13)&lt;0.5,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IF(SUMPRODUCT($J$65:AC$65,$J13:AC13)&lt;0.5,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IF(SUMPRODUCT($J$65:AF$65,$J13:AF13)&lt;0.5,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IF(SUMPRODUCT($J$65:AI$65,$J13:AI13)&lt;0.5,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IF(SUMPRODUCT($J$65:AL$65,$J13:AL13)&lt;0.5,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IF(SUMPRODUCT($J$65:AO$65,$J13:AO13)&lt;0.5,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IF(SUMPRODUCT($J$65:AR$65,$J13:AR13)&lt;0.5,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IF(SUMPRODUCT($J$65:AU$65,$J13:AU13)&lt;0.5,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IF(SUMPRODUCT($J$65:AX$65,$J13:AX13)&lt;0.5,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IF(SUMPRODUCT($J$65:BA$65,$J13:BA13)&lt;0.5,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IF(SUMPRODUCT($J$65:BD$65,$J13:BD13)&lt;0.5,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IF(SUMPRODUCT($J$65:BG$65,$J13:BG13)&lt;0.5,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IF(SUMPRODUCT($J$65:BJ$65,$J13:BJ13)&lt;0.5,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IF(SUMPRODUCT($J$65:BM$65,$J13:BM13)&lt;0.5,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IF(SUMPRODUCT($J$65:BP$65,$J13:BP13)&lt;0.5,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IF(SUMPRODUCT($J$65:BS$65,$J13:BS13)&lt;0.5,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IF(SUMPRODUCT($J$65:BV$65,$J13:BV13)&lt;0.5,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IF(SUMPRODUCT($J$65:BY$65,$J13:BY13)&lt;0.5,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IF(SUMPRODUCT($J$65:CB$65,$J13:CB13)&lt;0.5, "Pending", IF(CB13&lt;0.5, "Complete", "In Progress"))</f>
        <v>#REF!</v>
      </c>
      <c r="CD13" s="24"/>
      <c r="CE13" s="25">
        <f>SUMPRODUCT($H$65:AY$65,$H13:AY13)</f>
        <v>0</v>
      </c>
    </row>
    <row r="14" spans="1:83">
      <c r="A14" s="16"/>
      <c r="B14" s="16"/>
      <c r="C14" s="16"/>
      <c r="D14" s="17"/>
      <c r="E14" s="178"/>
      <c r="F14" s="18" t="s">
        <v>128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IF(SUMPRODUCT($J$65:K$65,$J14:K14)&lt;0.5,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IF(SUMPRODUCT($J$65:N$65,$J14:N14)&lt;0.5,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IF(SUMPRODUCT($J$65:Q$65,$J14:Q14)&lt;0.5,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IF(SUMPRODUCT($J$65:T$65,$J14:T14)&lt;0.5,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IF(SUMPRODUCT($J$65:W$65,$J14:W14)&lt;0.5,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IF(SUMPRODUCT($J$65:Z$65,$J14:Z14)&lt;0.5,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IF(SUMPRODUCT($J$65:AC$65,$J14:AC14)&lt;0.5,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IF(SUMPRODUCT($J$65:AF$65,$J14:AF14)&lt;0.5,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IF(SUMPRODUCT($J$65:AI$65,$J14:AI14)&lt;0.5,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IF(SUMPRODUCT($J$65:AL$65,$J14:AL14)&lt;0.5,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IF(SUMPRODUCT($J$65:AO$65,$J14:AO14)&lt;0.5,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IF(SUMPRODUCT($J$65:AR$65,$J14:AR14)&lt;0.5,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IF(SUMPRODUCT($J$65:AU$65,$J14:AU14)&lt;0.5,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IF(SUMPRODUCT($J$65:AX$65,$J14:AX14)&lt;0.5,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IF(SUMPRODUCT($J$65:BA$65,$J14:BA14)&lt;0.5,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IF(SUMPRODUCT($J$65:BD$65,$J14:BD14)&lt;0.5,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IF(SUMPRODUCT($J$65:BG$65,$J14:BG14)&lt;0.5,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IF(SUMPRODUCT($J$65:BJ$65,$J14:BJ14)&lt;0.5,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IF(SUMPRODUCT($J$65:BM$65,$J14:BM14)&lt;0.5,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IF(SUMPRODUCT($J$65:BP$65,$J14:BP14)&lt;0.5,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IF(SUMPRODUCT($J$65:BS$65,$J14:BS14)&lt;0.5,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IF(SUMPRODUCT($J$65:BV$65,$J14:BV14)&lt;0.5,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IF(SUMPRODUCT($J$65:BY$65,$J14:BY14)&lt;0.5,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IF(SUMPRODUCT($J$65:CB$65,$J14:CB14)&lt;0.5, "Pending", IF(CB14&lt;0.5, "Complete", "In Progress"))</f>
        <v>#REF!</v>
      </c>
      <c r="CD14" s="24"/>
      <c r="CE14" s="25">
        <f>SUMPRODUCT($H$65:AY$65,$H14:AY14)</f>
        <v>0</v>
      </c>
    </row>
    <row r="15" spans="1:83">
      <c r="A15" s="16"/>
      <c r="B15" s="16"/>
      <c r="C15" s="16"/>
      <c r="D15" s="17"/>
      <c r="E15" s="178"/>
      <c r="F15" s="18" t="s">
        <v>128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IF(SUMPRODUCT($J$65:K$65,$J15:K15)&lt;0.5,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IF(SUMPRODUCT($J$65:N$65,$J15:N15)&lt;0.5,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IF(SUMPRODUCT($J$65:Q$65,$J15:Q15)&lt;0.5,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IF(SUMPRODUCT($J$65:T$65,$J15:T15)&lt;0.5,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IF(SUMPRODUCT($J$65:W$65,$J15:W15)&lt;0.5,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IF(SUMPRODUCT($J$65:Z$65,$J15:Z15)&lt;0.5,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IF(SUMPRODUCT($J$65:AC$65,$J15:AC15)&lt;0.5,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IF(SUMPRODUCT($J$65:AF$65,$J15:AF15)&lt;0.5,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IF(SUMPRODUCT($J$65:AI$65,$J15:AI15)&lt;0.5,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IF(SUMPRODUCT($J$65:AL$65,$J15:AL15)&lt;0.5,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IF(SUMPRODUCT($J$65:AO$65,$J15:AO15)&lt;0.5,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IF(SUMPRODUCT($J$65:AR$65,$J15:AR15)&lt;0.5,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IF(SUMPRODUCT($J$65:AU$65,$J15:AU15)&lt;0.5,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IF(SUMPRODUCT($J$65:AX$65,$J15:AX15)&lt;0.5,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IF(SUMPRODUCT($J$65:BA$65,$J15:BA15)&lt;0.5,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IF(SUMPRODUCT($J$65:BD$65,$J15:BD15)&lt;0.5,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IF(SUMPRODUCT($J$65:BG$65,$J15:BG15)&lt;0.5,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IF(SUMPRODUCT($J$65:BJ$65,$J15:BJ15)&lt;0.5,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IF(SUMPRODUCT($J$65:BM$65,$J15:BM15)&lt;0.5,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IF(SUMPRODUCT($J$65:BP$65,$J15:BP15)&lt;0.5,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IF(SUMPRODUCT($J$65:BS$65,$J15:BS15)&lt;0.5,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IF(SUMPRODUCT($J$65:BV$65,$J15:BV15)&lt;0.5,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IF(SUMPRODUCT($J$65:BY$65,$J15:BY15)&lt;0.5,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IF(SUMPRODUCT($J$65:CB$65,$J15:CB15)&lt;0.5, "Pending", IF(CB15&lt;0.5, "Complete", "In Progress"))</f>
        <v>#REF!</v>
      </c>
      <c r="CD15" s="24"/>
      <c r="CE15" s="25">
        <f>SUMPRODUCT($H$65:AY$65,$H15:AY15)</f>
        <v>0</v>
      </c>
    </row>
    <row r="16" spans="1:83">
      <c r="A16" s="16"/>
      <c r="B16" s="16"/>
      <c r="C16" s="16"/>
      <c r="D16" s="17"/>
      <c r="E16" s="178"/>
      <c r="F16" s="18" t="s">
        <v>128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IF(SUMPRODUCT($J$65:K$65,$J16:K16)&lt;0.5,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IF(SUMPRODUCT($J$65:N$65,$J16:N16)&lt;0.5,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IF(SUMPRODUCT($J$65:Q$65,$J16:Q16)&lt;0.5,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IF(SUMPRODUCT($J$65:T$65,$J16:T16)&lt;0.5,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IF(SUMPRODUCT($J$65:W$65,$J16:W16)&lt;0.5,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IF(SUMPRODUCT($J$65:Z$65,$J16:Z16)&lt;0.5,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IF(SUMPRODUCT($J$65:AC$65,$J16:AC16)&lt;0.5,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IF(SUMPRODUCT($J$65:AF$65,$J16:AF16)&lt;0.5,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IF(SUMPRODUCT($J$65:AI$65,$J16:AI16)&lt;0.5,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IF(SUMPRODUCT($J$65:AL$65,$J16:AL16)&lt;0.5,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IF(SUMPRODUCT($J$65:AO$65,$J16:AO16)&lt;0.5,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IF(SUMPRODUCT($J$65:AR$65,$J16:AR16)&lt;0.5,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IF(SUMPRODUCT($J$65:AU$65,$J16:AU16)&lt;0.5,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IF(SUMPRODUCT($J$65:AX$65,$J16:AX16)&lt;0.5,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IF(SUMPRODUCT($J$65:BA$65,$J16:BA16)&lt;0.5,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IF(SUMPRODUCT($J$65:BD$65,$J16:BD16)&lt;0.5,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IF(SUMPRODUCT($J$65:BG$65,$J16:BG16)&lt;0.5,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IF(SUMPRODUCT($J$65:BJ$65,$J16:BJ16)&lt;0.5,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IF(SUMPRODUCT($J$65:BM$65,$J16:BM16)&lt;0.5,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IF(SUMPRODUCT($J$65:BP$65,$J16:BP16)&lt;0.5,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IF(SUMPRODUCT($J$65:BS$65,$J16:BS16)&lt;0.5,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IF(SUMPRODUCT($J$65:BV$65,$J16:BV16)&lt;0.5,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IF(SUMPRODUCT($J$65:BY$65,$J16:BY16)&lt;0.5,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IF(SUMPRODUCT($J$65:CB$65,$J16:CB16)&lt;0.5, "Pending", IF(CB16&lt;0.5, "Complete", "In Progress"))</f>
        <v>#REF!</v>
      </c>
      <c r="CD16" s="24"/>
      <c r="CE16" s="25">
        <f>SUMPRODUCT($H$65:AY$65,$H16:AY16)</f>
        <v>0</v>
      </c>
    </row>
    <row r="17" spans="1:83">
      <c r="A17" s="16"/>
      <c r="B17" s="16"/>
      <c r="C17" s="16"/>
      <c r="D17" s="17"/>
      <c r="E17" s="178"/>
      <c r="F17" s="18" t="s">
        <v>128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IF(SUMPRODUCT($J$65:K$65,$J17:K17)&lt;0.5,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IF(SUMPRODUCT($J$65:N$65,$J17:N17)&lt;0.5,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IF(SUMPRODUCT($J$65:Q$65,$J17:Q17)&lt;0.5,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IF(SUMPRODUCT($J$65:T$65,$J17:T17)&lt;0.5,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IF(SUMPRODUCT($J$65:W$65,$J17:W17)&lt;0.5,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IF(SUMPRODUCT($J$65:Z$65,$J17:Z17)&lt;0.5,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IF(SUMPRODUCT($J$65:AC$65,$J17:AC17)&lt;0.5,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IF(SUMPRODUCT($J$65:AF$65,$J17:AF17)&lt;0.5,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IF(SUMPRODUCT($J$65:AI$65,$J17:AI17)&lt;0.5,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IF(SUMPRODUCT($J$65:AL$65,$J17:AL17)&lt;0.5,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IF(SUMPRODUCT($J$65:AO$65,$J17:AO17)&lt;0.5,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IF(SUMPRODUCT($J$65:AR$65,$J17:AR17)&lt;0.5,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IF(SUMPRODUCT($J$65:AU$65,$J17:AU17)&lt;0.5,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IF(SUMPRODUCT($J$65:AX$65,$J17:AX17)&lt;0.5,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IF(SUMPRODUCT($J$65:BA$65,$J17:BA17)&lt;0.5,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IF(SUMPRODUCT($J$65:BD$65,$J17:BD17)&lt;0.5,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IF(SUMPRODUCT($J$65:BG$65,$J17:BG17)&lt;0.5,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IF(SUMPRODUCT($J$65:BJ$65,$J17:BJ17)&lt;0.5,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IF(SUMPRODUCT($J$65:BM$65,$J17:BM17)&lt;0.5,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IF(SUMPRODUCT($J$65:BP$65,$J17:BP17)&lt;0.5,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IF(SUMPRODUCT($J$65:BS$65,$J17:BS17)&lt;0.5,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IF(SUMPRODUCT($J$65:BV$65,$J17:BV17)&lt;0.5,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IF(SUMPRODUCT($J$65:BY$65,$J17:BY17)&lt;0.5,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IF(SUMPRODUCT($J$65:CB$65,$J17:CB17)&lt;0.5, "Pending", IF(CB17&lt;0.5, "Complete", "In Progress"))</f>
        <v>#REF!</v>
      </c>
      <c r="CD17" s="24"/>
      <c r="CE17" s="25">
        <f>SUMPRODUCT($H$65:AY$65,$H17:AY17)</f>
        <v>0</v>
      </c>
    </row>
    <row r="18" spans="1:83">
      <c r="A18" s="16"/>
      <c r="B18" s="16"/>
      <c r="C18" s="16"/>
      <c r="D18" s="17"/>
      <c r="E18" s="178"/>
      <c r="F18" s="18" t="s">
        <v>128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IF(SUMPRODUCT($J$65:K$65,$J18:K18)&lt;0.5,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IF(SUMPRODUCT($J$65:N$65,$J18:N18)&lt;0.5,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IF(SUMPRODUCT($J$65:Q$65,$J18:Q18)&lt;0.5,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IF(SUMPRODUCT($J$65:T$65,$J18:T18)&lt;0.5,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IF(SUMPRODUCT($J$65:W$65,$J18:W18)&lt;0.5,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IF(SUMPRODUCT($J$65:Z$65,$J18:Z18)&lt;0.5,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IF(SUMPRODUCT($J$65:AC$65,$J18:AC18)&lt;0.5,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IF(SUMPRODUCT($J$65:AF$65,$J18:AF18)&lt;0.5,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IF(SUMPRODUCT($J$65:AI$65,$J18:AI18)&lt;0.5,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IF(SUMPRODUCT($J$65:AL$65,$J18:AL18)&lt;0.5,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IF(SUMPRODUCT($J$65:AO$65,$J18:AO18)&lt;0.5,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IF(SUMPRODUCT($J$65:AR$65,$J18:AR18)&lt;0.5,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IF(SUMPRODUCT($J$65:AU$65,$J18:AU18)&lt;0.5,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IF(SUMPRODUCT($J$65:AX$65,$J18:AX18)&lt;0.5,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IF(SUMPRODUCT($J$65:BA$65,$J18:BA18)&lt;0.5,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IF(SUMPRODUCT($J$65:BD$65,$J18:BD18)&lt;0.5,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IF(SUMPRODUCT($J$65:BG$65,$J18:BG18)&lt;0.5,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IF(SUMPRODUCT($J$65:BJ$65,$J18:BJ18)&lt;0.5,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IF(SUMPRODUCT($J$65:BM$65,$J18:BM18)&lt;0.5,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IF(SUMPRODUCT($J$65:BP$65,$J18:BP18)&lt;0.5,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IF(SUMPRODUCT($J$65:BS$65,$J18:BS18)&lt;0.5,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IF(SUMPRODUCT($J$65:BV$65,$J18:BV18)&lt;0.5,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IF(SUMPRODUCT($J$65:BY$65,$J18:BY18)&lt;0.5,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IF(SUMPRODUCT($J$65:CB$65,$J18:CB18)&lt;0.5, "Pending", IF(CB18&lt;0.5, "Complete", "In Progress"))</f>
        <v>#REF!</v>
      </c>
      <c r="CD18" s="24"/>
      <c r="CE18" s="25">
        <f>SUMPRODUCT($H$65:AY$65,$H18:AY18)</f>
        <v>0</v>
      </c>
    </row>
    <row r="19" spans="1:83">
      <c r="A19" s="16"/>
      <c r="B19" s="16"/>
      <c r="C19" s="16"/>
      <c r="D19" s="17"/>
      <c r="E19" s="178"/>
      <c r="F19" s="18" t="s">
        <v>128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IF(SUMPRODUCT($J$65:K$65,$J19:K19)&lt;0.5,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IF(SUMPRODUCT($J$65:N$65,$J19:N19)&lt;0.5,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IF(SUMPRODUCT($J$65:Q$65,$J19:Q19)&lt;0.5,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IF(SUMPRODUCT($J$65:T$65,$J19:T19)&lt;0.5,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IF(SUMPRODUCT($J$65:W$65,$J19:W19)&lt;0.5,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IF(SUMPRODUCT($J$65:Z$65,$J19:Z19)&lt;0.5,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IF(SUMPRODUCT($J$65:AC$65,$J19:AC19)&lt;0.5,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IF(SUMPRODUCT($J$65:AF$65,$J19:AF19)&lt;0.5,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IF(SUMPRODUCT($J$65:AI$65,$J19:AI19)&lt;0.5,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IF(SUMPRODUCT($J$65:AL$65,$J19:AL19)&lt;0.5,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IF(SUMPRODUCT($J$65:AO$65,$J19:AO19)&lt;0.5,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IF(SUMPRODUCT($J$65:AR$65,$J19:AR19)&lt;0.5,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IF(SUMPRODUCT($J$65:AU$65,$J19:AU19)&lt;0.5,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IF(SUMPRODUCT($J$65:AX$65,$J19:AX19)&lt;0.5,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IF(SUMPRODUCT($J$65:BA$65,$J19:BA19)&lt;0.5,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IF(SUMPRODUCT($J$65:BD$65,$J19:BD19)&lt;0.5,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IF(SUMPRODUCT($J$65:BG$65,$J19:BG19)&lt;0.5,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IF(SUMPRODUCT($J$65:BJ$65,$J19:BJ19)&lt;0.5,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IF(SUMPRODUCT($J$65:BM$65,$J19:BM19)&lt;0.5,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IF(SUMPRODUCT($J$65:BP$65,$J19:BP19)&lt;0.5,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IF(SUMPRODUCT($J$65:BS$65,$J19:BS19)&lt;0.5,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IF(SUMPRODUCT($J$65:BV$65,$J19:BV19)&lt;0.5,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IF(SUMPRODUCT($J$65:BY$65,$J19:BY19)&lt;0.5,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IF(SUMPRODUCT($J$65:CB$65,$J19:CB19)&lt;0.5, "Pending", IF(CB19&lt;0.5, "Complete", "In Progress"))</f>
        <v>#REF!</v>
      </c>
      <c r="CD19" s="24"/>
      <c r="CE19" s="25">
        <f>SUMPRODUCT($H$65:AY$65,$H19:AY19)</f>
        <v>0</v>
      </c>
    </row>
    <row r="20" spans="1:83">
      <c r="A20" s="16"/>
      <c r="B20" s="16"/>
      <c r="C20" s="16"/>
      <c r="D20" s="17"/>
      <c r="E20" s="178"/>
      <c r="F20" s="18" t="s">
        <v>128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IF(SUMPRODUCT($J$65:K$65,$J20:K20)&lt;0.5,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IF(SUMPRODUCT($J$65:N$65,$J20:N20)&lt;0.5,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IF(SUMPRODUCT($J$65:Q$65,$J20:Q20)&lt;0.5,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IF(SUMPRODUCT($J$65:T$65,$J20:T20)&lt;0.5,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IF(SUMPRODUCT($J$65:W$65,$J20:W20)&lt;0.5,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IF(SUMPRODUCT($J$65:Z$65,$J20:Z20)&lt;0.5,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IF(SUMPRODUCT($J$65:AC$65,$J20:AC20)&lt;0.5,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IF(SUMPRODUCT($J$65:AF$65,$J20:AF20)&lt;0.5,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IF(SUMPRODUCT($J$65:AI$65,$J20:AI20)&lt;0.5,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IF(SUMPRODUCT($J$65:AL$65,$J20:AL20)&lt;0.5,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IF(SUMPRODUCT($J$65:AO$65,$J20:AO20)&lt;0.5,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IF(SUMPRODUCT($J$65:AR$65,$J20:AR20)&lt;0.5,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IF(SUMPRODUCT($J$65:AU$65,$J20:AU20)&lt;0.5,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IF(SUMPRODUCT($J$65:AX$65,$J20:AX20)&lt;0.5,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IF(SUMPRODUCT($J$65:BA$65,$J20:BA20)&lt;0.5,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IF(SUMPRODUCT($J$65:BD$65,$J20:BD20)&lt;0.5,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IF(SUMPRODUCT($J$65:BG$65,$J20:BG20)&lt;0.5,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IF(SUMPRODUCT($J$65:BJ$65,$J20:BJ20)&lt;0.5,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IF(SUMPRODUCT($J$65:BM$65,$J20:BM20)&lt;0.5,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IF(SUMPRODUCT($J$65:BP$65,$J20:BP20)&lt;0.5,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IF(SUMPRODUCT($J$65:BS$65,$J20:BS20)&lt;0.5,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IF(SUMPRODUCT($J$65:BV$65,$J20:BV20)&lt;0.5,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IF(SUMPRODUCT($J$65:BY$65,$J20:BY20)&lt;0.5,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IF(SUMPRODUCT($J$65:CB$65,$J20:CB20)&lt;0.5, "Pending", IF(CB20&lt;0.5, "Complete", "In Progress"))</f>
        <v>#REF!</v>
      </c>
      <c r="CD20" s="24"/>
      <c r="CE20" s="25">
        <f>SUMPRODUCT($H$65:AY$65,$H20:AY20)</f>
        <v>0</v>
      </c>
    </row>
    <row r="21" spans="1:83">
      <c r="A21" s="16"/>
      <c r="B21" s="16"/>
      <c r="C21" s="16"/>
      <c r="D21" s="17"/>
      <c r="E21" s="178"/>
      <c r="F21" s="18" t="s">
        <v>128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IF(SUMPRODUCT($J$65:K$65,$J21:K21)&lt;0.5,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IF(SUMPRODUCT($J$65:N$65,$J21:N21)&lt;0.5,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IF(SUMPRODUCT($J$65:Q$65,$J21:Q21)&lt;0.5,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IF(SUMPRODUCT($J$65:T$65,$J21:T21)&lt;0.5,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IF(SUMPRODUCT($J$65:W$65,$J21:W21)&lt;0.5,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IF(SUMPRODUCT($J$65:Z$65,$J21:Z21)&lt;0.5,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IF(SUMPRODUCT($J$65:AC$65,$J21:AC21)&lt;0.5,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IF(SUMPRODUCT($J$65:AF$65,$J21:AF21)&lt;0.5,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IF(SUMPRODUCT($J$65:AI$65,$J21:AI21)&lt;0.5,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IF(SUMPRODUCT($J$65:AL$65,$J21:AL21)&lt;0.5,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IF(SUMPRODUCT($J$65:AO$65,$J21:AO21)&lt;0.5,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IF(SUMPRODUCT($J$65:AR$65,$J21:AR21)&lt;0.5,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IF(SUMPRODUCT($J$65:AU$65,$J21:AU21)&lt;0.5,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IF(SUMPRODUCT($J$65:AX$65,$J21:AX21)&lt;0.5,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IF(SUMPRODUCT($J$65:BA$65,$J21:BA21)&lt;0.5,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IF(SUMPRODUCT($J$65:BD$65,$J21:BD21)&lt;0.5,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IF(SUMPRODUCT($J$65:BG$65,$J21:BG21)&lt;0.5,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IF(SUMPRODUCT($J$65:BJ$65,$J21:BJ21)&lt;0.5,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IF(SUMPRODUCT($J$65:BM$65,$J21:BM21)&lt;0.5,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IF(SUMPRODUCT($J$65:BP$65,$J21:BP21)&lt;0.5,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IF(SUMPRODUCT($J$65:BS$65,$J21:BS21)&lt;0.5,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IF(SUMPRODUCT($J$65:BV$65,$J21:BV21)&lt;0.5,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IF(SUMPRODUCT($J$65:BY$65,$J21:BY21)&lt;0.5,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IF(SUMPRODUCT($J$65:CB$65,$J21:CB21)&lt;0.5, "Pending", IF(CB21&lt;0.5, "Complete", "In Progress"))</f>
        <v>#REF!</v>
      </c>
      <c r="CD21" s="24"/>
      <c r="CE21" s="25">
        <f>SUMPRODUCT($H$65:AY$65,$H21:AY21)</f>
        <v>0</v>
      </c>
    </row>
    <row r="22" spans="1:83">
      <c r="A22" s="16"/>
      <c r="B22" s="16"/>
      <c r="C22" s="16"/>
      <c r="D22" s="17"/>
      <c r="E22" s="178"/>
      <c r="F22" s="18" t="s">
        <v>128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IF(SUMPRODUCT($J$65:K$65,$J22:K22)&lt;0.5,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IF(SUMPRODUCT($J$65:N$65,$J22:N22)&lt;0.5,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IF(SUMPRODUCT($J$65:Q$65,$J22:Q22)&lt;0.5,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IF(SUMPRODUCT($J$65:T$65,$J22:T22)&lt;0.5,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IF(SUMPRODUCT($J$65:W$65,$J22:W22)&lt;0.5,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IF(SUMPRODUCT($J$65:Z$65,$J22:Z22)&lt;0.5,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IF(SUMPRODUCT($J$65:AC$65,$J22:AC22)&lt;0.5,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IF(SUMPRODUCT($J$65:AF$65,$J22:AF22)&lt;0.5,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IF(SUMPRODUCT($J$65:AI$65,$J22:AI22)&lt;0.5,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IF(SUMPRODUCT($J$65:AL$65,$J22:AL22)&lt;0.5,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IF(SUMPRODUCT($J$65:AO$65,$J22:AO22)&lt;0.5,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IF(SUMPRODUCT($J$65:AR$65,$J22:AR22)&lt;0.5,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IF(SUMPRODUCT($J$65:AU$65,$J22:AU22)&lt;0.5,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IF(SUMPRODUCT($J$65:AX$65,$J22:AX22)&lt;0.5,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IF(SUMPRODUCT($J$65:BA$65,$J22:BA22)&lt;0.5,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IF(SUMPRODUCT($J$65:BD$65,$J22:BD22)&lt;0.5,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IF(SUMPRODUCT($J$65:BG$65,$J22:BG22)&lt;0.5,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IF(SUMPRODUCT($J$65:BJ$65,$J22:BJ22)&lt;0.5,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IF(SUMPRODUCT($J$65:BM$65,$J22:BM22)&lt;0.5,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IF(SUMPRODUCT($J$65:BP$65,$J22:BP22)&lt;0.5,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IF(SUMPRODUCT($J$65:BS$65,$J22:BS22)&lt;0.5,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IF(SUMPRODUCT($J$65:BV$65,$J22:BV22)&lt;0.5,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IF(SUMPRODUCT($J$65:BY$65,$J22:BY22)&lt;0.5,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IF(SUMPRODUCT($J$65:CB$65,$J22:CB22)&lt;0.5, "Pending", IF(CB22&lt;0.5, "Complete", "In Progress"))</f>
        <v>#REF!</v>
      </c>
      <c r="CD22" s="24"/>
      <c r="CE22" s="25">
        <f>SUMPRODUCT($H$65:AY$65,$H22:AY22)</f>
        <v>0</v>
      </c>
    </row>
    <row r="23" spans="1:83">
      <c r="A23" s="16"/>
      <c r="B23" s="16"/>
      <c r="C23" s="16"/>
      <c r="D23" s="17"/>
      <c r="E23" s="178"/>
      <c r="F23" s="18" t="s">
        <v>128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IF(SUMPRODUCT($J$65:K$65,$J23:K23)&lt;0.5,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IF(SUMPRODUCT($J$65:N$65,$J23:N23)&lt;0.5,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IF(SUMPRODUCT($J$65:Q$65,$J23:Q23)&lt;0.5,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IF(SUMPRODUCT($J$65:T$65,$J23:T23)&lt;0.5,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IF(SUMPRODUCT($J$65:W$65,$J23:W23)&lt;0.5,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IF(SUMPRODUCT($J$65:Z$65,$J23:Z23)&lt;0.5,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IF(SUMPRODUCT($J$65:AC$65,$J23:AC23)&lt;0.5,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IF(SUMPRODUCT($J$65:AF$65,$J23:AF23)&lt;0.5,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IF(SUMPRODUCT($J$65:AI$65,$J23:AI23)&lt;0.5,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IF(SUMPRODUCT($J$65:AL$65,$J23:AL23)&lt;0.5,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IF(SUMPRODUCT($J$65:AO$65,$J23:AO23)&lt;0.5,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IF(SUMPRODUCT($J$65:AR$65,$J23:AR23)&lt;0.5,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IF(SUMPRODUCT($J$65:AU$65,$J23:AU23)&lt;0.5,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IF(SUMPRODUCT($J$65:AX$65,$J23:AX23)&lt;0.5,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IF(SUMPRODUCT($J$65:BA$65,$J23:BA23)&lt;0.5,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IF(SUMPRODUCT($J$65:BD$65,$J23:BD23)&lt;0.5,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IF(SUMPRODUCT($J$65:BG$65,$J23:BG23)&lt;0.5,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IF(SUMPRODUCT($J$65:BJ$65,$J23:BJ23)&lt;0.5,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IF(SUMPRODUCT($J$65:BM$65,$J23:BM23)&lt;0.5,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IF(SUMPRODUCT($J$65:BP$65,$J23:BP23)&lt;0.5,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IF(SUMPRODUCT($J$65:BS$65,$J23:BS23)&lt;0.5,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IF(SUMPRODUCT($J$65:BV$65,$J23:BV23)&lt;0.5,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IF(SUMPRODUCT($J$65:BY$65,$J23:BY23)&lt;0.5,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IF(SUMPRODUCT($J$65:CB$65,$J23:CB23)&lt;0.5, "Pending", IF(CB23&lt;0.5, "Complete", "In Progress"))</f>
        <v>#REF!</v>
      </c>
      <c r="CD23" s="24"/>
      <c r="CE23" s="25">
        <f>SUMPRODUCT($H$65:AY$65,$H23:AY23)</f>
        <v>0</v>
      </c>
    </row>
    <row r="24" spans="1:83">
      <c r="A24" s="16"/>
      <c r="B24" s="16"/>
      <c r="C24" s="16"/>
      <c r="D24" s="17"/>
      <c r="E24" s="178"/>
      <c r="F24" s="18" t="s">
        <v>128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IF(SUMPRODUCT($J$65:K$65,$J24:K24)&lt;0.5,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IF(SUMPRODUCT($J$65:N$65,$J24:N24)&lt;0.5,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IF(SUMPRODUCT($J$65:Q$65,$J24:Q24)&lt;0.5,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IF(SUMPRODUCT($J$65:T$65,$J24:T24)&lt;0.5,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IF(SUMPRODUCT($J$65:W$65,$J24:W24)&lt;0.5,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IF(SUMPRODUCT($J$65:Z$65,$J24:Z24)&lt;0.5,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IF(SUMPRODUCT($J$65:AC$65,$J24:AC24)&lt;0.5,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IF(SUMPRODUCT($J$65:AF$65,$J24:AF24)&lt;0.5,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IF(SUMPRODUCT($J$65:AI$65,$J24:AI24)&lt;0.5,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IF(SUMPRODUCT($J$65:AL$65,$J24:AL24)&lt;0.5,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IF(SUMPRODUCT($J$65:AO$65,$J24:AO24)&lt;0.5,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IF(SUMPRODUCT($J$65:AR$65,$J24:AR24)&lt;0.5,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IF(SUMPRODUCT($J$65:AU$65,$J24:AU24)&lt;0.5,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IF(SUMPRODUCT($J$65:AX$65,$J24:AX24)&lt;0.5,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IF(SUMPRODUCT($J$65:BA$65,$J24:BA24)&lt;0.5,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IF(SUMPRODUCT($J$65:BD$65,$J24:BD24)&lt;0.5,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IF(SUMPRODUCT($J$65:BG$65,$J24:BG24)&lt;0.5,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IF(SUMPRODUCT($J$65:BJ$65,$J24:BJ24)&lt;0.5,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IF(SUMPRODUCT($J$65:BM$65,$J24:BM24)&lt;0.5,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IF(SUMPRODUCT($J$65:BP$65,$J24:BP24)&lt;0.5,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IF(SUMPRODUCT($J$65:BS$65,$J24:BS24)&lt;0.5,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IF(SUMPRODUCT($J$65:BV$65,$J24:BV24)&lt;0.5,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IF(SUMPRODUCT($J$65:BY$65,$J24:BY24)&lt;0.5,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IF(SUMPRODUCT($J$65:CB$65,$J24:CB24)&lt;0.5, "Pending", IF(CB24&lt;0.5, "Complete", "In Progress"))</f>
        <v>#REF!</v>
      </c>
      <c r="CD24" s="24"/>
      <c r="CE24" s="25">
        <f>SUMPRODUCT($H$65:AY$65,$H24:AY24)</f>
        <v>0</v>
      </c>
    </row>
    <row r="25" spans="1:83">
      <c r="A25" s="16"/>
      <c r="B25" s="16"/>
      <c r="C25" s="16"/>
      <c r="D25" s="17"/>
      <c r="E25" s="178"/>
      <c r="F25" s="18" t="s">
        <v>128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IF(SUMPRODUCT($J$65:K$65,$J25:K25)&lt;0.5,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IF(SUMPRODUCT($J$65:N$65,$J25:N25)&lt;0.5,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IF(SUMPRODUCT($J$65:Q$65,$J25:Q25)&lt;0.5,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IF(SUMPRODUCT($J$65:T$65,$J25:T25)&lt;0.5,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IF(SUMPRODUCT($J$65:W$65,$J25:W25)&lt;0.5,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IF(SUMPRODUCT($J$65:Z$65,$J25:Z25)&lt;0.5,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IF(SUMPRODUCT($J$65:AC$65,$J25:AC25)&lt;0.5,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IF(SUMPRODUCT($J$65:AF$65,$J25:AF25)&lt;0.5,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IF(SUMPRODUCT($J$65:AI$65,$J25:AI25)&lt;0.5,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IF(SUMPRODUCT($J$65:AL$65,$J25:AL25)&lt;0.5,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IF(SUMPRODUCT($J$65:AO$65,$J25:AO25)&lt;0.5,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IF(SUMPRODUCT($J$65:AR$65,$J25:AR25)&lt;0.5,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IF(SUMPRODUCT($J$65:AU$65,$J25:AU25)&lt;0.5,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IF(SUMPRODUCT($J$65:AX$65,$J25:AX25)&lt;0.5,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IF(SUMPRODUCT($J$65:BA$65,$J25:BA25)&lt;0.5,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IF(SUMPRODUCT($J$65:BD$65,$J25:BD25)&lt;0.5,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IF(SUMPRODUCT($J$65:BG$65,$J25:BG25)&lt;0.5,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IF(SUMPRODUCT($J$65:BJ$65,$J25:BJ25)&lt;0.5,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IF(SUMPRODUCT($J$65:BM$65,$J25:BM25)&lt;0.5,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IF(SUMPRODUCT($J$65:BP$65,$J25:BP25)&lt;0.5,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IF(SUMPRODUCT($J$65:BS$65,$J25:BS25)&lt;0.5,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IF(SUMPRODUCT($J$65:BV$65,$J25:BV25)&lt;0.5,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IF(SUMPRODUCT($J$65:BY$65,$J25:BY25)&lt;0.5,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IF(SUMPRODUCT($J$65:CB$65,$J25:CB25)&lt;0.5, "Pending", IF(CB25&lt;0.5, "Complete", "In Progress"))</f>
        <v>#REF!</v>
      </c>
      <c r="CD25" s="24"/>
      <c r="CE25" s="25">
        <f>SUMPRODUCT($H$65:AY$65,$H25:AY25)</f>
        <v>0</v>
      </c>
    </row>
    <row r="26" spans="1:83">
      <c r="A26" s="16"/>
      <c r="B26" s="16"/>
      <c r="C26" s="16"/>
      <c r="D26" s="17"/>
      <c r="E26" s="178"/>
      <c r="F26" s="18" t="s">
        <v>128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IF(SUMPRODUCT($J$65:K$65,$J26:K26)&lt;0.5,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IF(SUMPRODUCT($J$65:N$65,$J26:N26)&lt;0.5,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IF(SUMPRODUCT($J$65:Q$65,$J26:Q26)&lt;0.5,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IF(SUMPRODUCT($J$65:T$65,$J26:T26)&lt;0.5,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IF(SUMPRODUCT($J$65:W$65,$J26:W26)&lt;0.5,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IF(SUMPRODUCT($J$65:Z$65,$J26:Z26)&lt;0.5,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IF(SUMPRODUCT($J$65:AC$65,$J26:AC26)&lt;0.5,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IF(SUMPRODUCT($J$65:AF$65,$J26:AF26)&lt;0.5,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IF(SUMPRODUCT($J$65:AI$65,$J26:AI26)&lt;0.5,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IF(SUMPRODUCT($J$65:AL$65,$J26:AL26)&lt;0.5,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IF(SUMPRODUCT($J$65:AO$65,$J26:AO26)&lt;0.5,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IF(SUMPRODUCT($J$65:AR$65,$J26:AR26)&lt;0.5,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IF(SUMPRODUCT($J$65:AU$65,$J26:AU26)&lt;0.5,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IF(SUMPRODUCT($J$65:AX$65,$J26:AX26)&lt;0.5,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IF(SUMPRODUCT($J$65:BA$65,$J26:BA26)&lt;0.5,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IF(SUMPRODUCT($J$65:BD$65,$J26:BD26)&lt;0.5,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IF(SUMPRODUCT($J$65:BG$65,$J26:BG26)&lt;0.5,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IF(SUMPRODUCT($J$65:BJ$65,$J26:BJ26)&lt;0.5,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IF(SUMPRODUCT($J$65:BM$65,$J26:BM26)&lt;0.5,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IF(SUMPRODUCT($J$65:BP$65,$J26:BP26)&lt;0.5,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IF(SUMPRODUCT($J$65:BS$65,$J26:BS26)&lt;0.5,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IF(SUMPRODUCT($J$65:BV$65,$J26:BV26)&lt;0.5,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IF(SUMPRODUCT($J$65:BY$65,$J26:BY26)&lt;0.5,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IF(SUMPRODUCT($J$65:CB$65,$J26:CB26)&lt;0.5, "Pending", IF(CB26&lt;0.5, "Complete", "In Progress"))</f>
        <v>#REF!</v>
      </c>
      <c r="CD26" s="24"/>
      <c r="CE26" s="25">
        <f>SUMPRODUCT($H$65:AY$65,$H26:AY26)</f>
        <v>0</v>
      </c>
    </row>
    <row r="27" spans="1:83">
      <c r="A27" s="16"/>
      <c r="B27" s="16"/>
      <c r="C27" s="16"/>
      <c r="D27" s="17"/>
      <c r="E27" s="178"/>
      <c r="F27" s="18" t="s">
        <v>128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IF(SUMPRODUCT($J$65:K$65,$J27:K27)&lt;0.5,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IF(SUMPRODUCT($J$65:N$65,$J27:N27)&lt;0.5,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IF(SUMPRODUCT($J$65:Q$65,$J27:Q27)&lt;0.5,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IF(SUMPRODUCT($J$65:T$65,$J27:T27)&lt;0.5,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IF(SUMPRODUCT($J$65:W$65,$J27:W27)&lt;0.5,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IF(SUMPRODUCT($J$65:Z$65,$J27:Z27)&lt;0.5,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IF(SUMPRODUCT($J$65:AC$65,$J27:AC27)&lt;0.5,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IF(SUMPRODUCT($J$65:AF$65,$J27:AF27)&lt;0.5,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IF(SUMPRODUCT($J$65:AI$65,$J27:AI27)&lt;0.5,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IF(SUMPRODUCT($J$65:AL$65,$J27:AL27)&lt;0.5,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IF(SUMPRODUCT($J$65:AO$65,$J27:AO27)&lt;0.5,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IF(SUMPRODUCT($J$65:AR$65,$J27:AR27)&lt;0.5,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IF(SUMPRODUCT($J$65:AU$65,$J27:AU27)&lt;0.5,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IF(SUMPRODUCT($J$65:AX$65,$J27:AX27)&lt;0.5,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IF(SUMPRODUCT($J$65:BA$65,$J27:BA27)&lt;0.5,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IF(SUMPRODUCT($J$65:BD$65,$J27:BD27)&lt;0.5,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IF(SUMPRODUCT($J$65:BG$65,$J27:BG27)&lt;0.5,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IF(SUMPRODUCT($J$65:BJ$65,$J27:BJ27)&lt;0.5,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IF(SUMPRODUCT($J$65:BM$65,$J27:BM27)&lt;0.5,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IF(SUMPRODUCT($J$65:BP$65,$J27:BP27)&lt;0.5,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IF(SUMPRODUCT($J$65:BS$65,$J27:BS27)&lt;0.5,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IF(SUMPRODUCT($J$65:BV$65,$J27:BV27)&lt;0.5,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IF(SUMPRODUCT($J$65:BY$65,$J27:BY27)&lt;0.5,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IF(SUMPRODUCT($J$65:CB$65,$J27:CB27)&lt;0.5, "Pending", IF(CB27&lt;0.5, "Complete", "In Progress"))</f>
        <v>#REF!</v>
      </c>
      <c r="CD27" s="24"/>
      <c r="CE27" s="25">
        <f>SUMPRODUCT($H$65:AY$65,$H27:AY27)</f>
        <v>0</v>
      </c>
    </row>
    <row r="28" spans="1:83">
      <c r="A28" s="16"/>
      <c r="B28" s="16"/>
      <c r="C28" s="16"/>
      <c r="D28" s="17"/>
      <c r="E28" s="178"/>
      <c r="F28" s="18" t="s">
        <v>128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IF(SUMPRODUCT($J$65:K$65,$J28:K28)&lt;0.5,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IF(SUMPRODUCT($J$65:N$65,$J28:N28)&lt;0.5,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IF(SUMPRODUCT($J$65:Q$65,$J28:Q28)&lt;0.5,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IF(SUMPRODUCT($J$65:T$65,$J28:T28)&lt;0.5,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IF(SUMPRODUCT($J$65:W$65,$J28:W28)&lt;0.5,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IF(SUMPRODUCT($J$65:Z$65,$J28:Z28)&lt;0.5,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IF(SUMPRODUCT($J$65:AC$65,$J28:AC28)&lt;0.5,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IF(SUMPRODUCT($J$65:AF$65,$J28:AF28)&lt;0.5,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IF(SUMPRODUCT($J$65:AI$65,$J28:AI28)&lt;0.5,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IF(SUMPRODUCT($J$65:AL$65,$J28:AL28)&lt;0.5,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IF(SUMPRODUCT($J$65:AO$65,$J28:AO28)&lt;0.5,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IF(SUMPRODUCT($J$65:AR$65,$J28:AR28)&lt;0.5,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IF(SUMPRODUCT($J$65:AU$65,$J28:AU28)&lt;0.5,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IF(SUMPRODUCT($J$65:AX$65,$J28:AX28)&lt;0.5,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IF(SUMPRODUCT($J$65:BA$65,$J28:BA28)&lt;0.5,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IF(SUMPRODUCT($J$65:BD$65,$J28:BD28)&lt;0.5,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IF(SUMPRODUCT($J$65:BG$65,$J28:BG28)&lt;0.5,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IF(SUMPRODUCT($J$65:BJ$65,$J28:BJ28)&lt;0.5,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IF(SUMPRODUCT($J$65:BM$65,$J28:BM28)&lt;0.5,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IF(SUMPRODUCT($J$65:BP$65,$J28:BP28)&lt;0.5,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IF(SUMPRODUCT($J$65:BS$65,$J28:BS28)&lt;0.5,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IF(SUMPRODUCT($J$65:BV$65,$J28:BV28)&lt;0.5,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IF(SUMPRODUCT($J$65:BY$65,$J28:BY28)&lt;0.5,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IF(SUMPRODUCT($J$65:CB$65,$J28:CB28)&lt;0.5, "Pending", IF(CB28&lt;0.5, "Complete", "In Progress"))</f>
        <v>#REF!</v>
      </c>
      <c r="CD28" s="24"/>
      <c r="CE28" s="25">
        <f>SUMPRODUCT($H$65:AY$65,$H28:AY28)</f>
        <v>0</v>
      </c>
    </row>
    <row r="29" spans="1:83">
      <c r="A29" s="16"/>
      <c r="B29" s="16"/>
      <c r="C29" s="16"/>
      <c r="D29" s="17"/>
      <c r="E29" s="178"/>
      <c r="F29" s="18" t="s">
        <v>128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IF(SUMPRODUCT($J$65:K$65,$J29:K29)&lt;0.5,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IF(SUMPRODUCT($J$65:N$65,$J29:N29)&lt;0.5,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IF(SUMPRODUCT($J$65:Q$65,$J29:Q29)&lt;0.5,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IF(SUMPRODUCT($J$65:T$65,$J29:T29)&lt;0.5,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IF(SUMPRODUCT($J$65:W$65,$J29:W29)&lt;0.5,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IF(SUMPRODUCT($J$65:Z$65,$J29:Z29)&lt;0.5,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IF(SUMPRODUCT($J$65:AC$65,$J29:AC29)&lt;0.5,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IF(SUMPRODUCT($J$65:AF$65,$J29:AF29)&lt;0.5,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IF(SUMPRODUCT($J$65:AI$65,$J29:AI29)&lt;0.5,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IF(SUMPRODUCT($J$65:AL$65,$J29:AL29)&lt;0.5,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IF(SUMPRODUCT($J$65:AO$65,$J29:AO29)&lt;0.5,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IF(SUMPRODUCT($J$65:AR$65,$J29:AR29)&lt;0.5,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IF(SUMPRODUCT($J$65:AU$65,$J29:AU29)&lt;0.5,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IF(SUMPRODUCT($J$65:AX$65,$J29:AX29)&lt;0.5,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IF(SUMPRODUCT($J$65:BA$65,$J29:BA29)&lt;0.5,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IF(SUMPRODUCT($J$65:BD$65,$J29:BD29)&lt;0.5,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IF(SUMPRODUCT($J$65:BG$65,$J29:BG29)&lt;0.5,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IF(SUMPRODUCT($J$65:BJ$65,$J29:BJ29)&lt;0.5,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IF(SUMPRODUCT($J$65:BM$65,$J29:BM29)&lt;0.5,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IF(SUMPRODUCT($J$65:BP$65,$J29:BP29)&lt;0.5,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IF(SUMPRODUCT($J$65:BS$65,$J29:BS29)&lt;0.5,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IF(SUMPRODUCT($J$65:BV$65,$J29:BV29)&lt;0.5,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IF(SUMPRODUCT($J$65:BY$65,$J29:BY29)&lt;0.5,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IF(SUMPRODUCT($J$65:CB$65,$J29:CB29)&lt;0.5, "Pending", IF(CB29&lt;0.5, "Complete", "In Progress"))</f>
        <v>#REF!</v>
      </c>
      <c r="CD29" s="24"/>
      <c r="CE29" s="25">
        <f>SUMPRODUCT($H$65:AY$65,$H29:AY29)</f>
        <v>0</v>
      </c>
    </row>
    <row r="30" spans="1:83">
      <c r="A30" s="16"/>
      <c r="B30" s="16"/>
      <c r="C30" s="16"/>
      <c r="D30" s="17"/>
      <c r="E30" s="178"/>
      <c r="F30" s="18" t="s">
        <v>128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IF(SUMPRODUCT($J$65:K$65,$J30:K30)&lt;0.5,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IF(SUMPRODUCT($J$65:N$65,$J30:N30)&lt;0.5,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IF(SUMPRODUCT($J$65:Q$65,$J30:Q30)&lt;0.5,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IF(SUMPRODUCT($J$65:T$65,$J30:T30)&lt;0.5,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IF(SUMPRODUCT($J$65:W$65,$J30:W30)&lt;0.5,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IF(SUMPRODUCT($J$65:Z$65,$J30:Z30)&lt;0.5,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IF(SUMPRODUCT($J$65:AC$65,$J30:AC30)&lt;0.5,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IF(SUMPRODUCT($J$65:AF$65,$J30:AF30)&lt;0.5,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IF(SUMPRODUCT($J$65:AI$65,$J30:AI30)&lt;0.5,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IF(SUMPRODUCT($J$65:AL$65,$J30:AL30)&lt;0.5,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IF(SUMPRODUCT($J$65:AO$65,$J30:AO30)&lt;0.5,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IF(SUMPRODUCT($J$65:AR$65,$J30:AR30)&lt;0.5,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IF(SUMPRODUCT($J$65:AU$65,$J30:AU30)&lt;0.5,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IF(SUMPRODUCT($J$65:AX$65,$J30:AX30)&lt;0.5,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IF(SUMPRODUCT($J$65:BA$65,$J30:BA30)&lt;0.5,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IF(SUMPRODUCT($J$65:BD$65,$J30:BD30)&lt;0.5,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IF(SUMPRODUCT($J$65:BG$65,$J30:BG30)&lt;0.5,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IF(SUMPRODUCT($J$65:BJ$65,$J30:BJ30)&lt;0.5,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IF(SUMPRODUCT($J$65:BM$65,$J30:BM30)&lt;0.5,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IF(SUMPRODUCT($J$65:BP$65,$J30:BP30)&lt;0.5,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IF(SUMPRODUCT($J$65:BS$65,$J30:BS30)&lt;0.5,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IF(SUMPRODUCT($J$65:BV$65,$J30:BV30)&lt;0.5,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IF(SUMPRODUCT($J$65:BY$65,$J30:BY30)&lt;0.5,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IF(SUMPRODUCT($J$65:CB$65,$J30:CB30)&lt;0.5, "Pending", IF(CB30&lt;0.5, "Complete", "In Progress"))</f>
        <v>#REF!</v>
      </c>
      <c r="CD30" s="24"/>
      <c r="CE30" s="25">
        <f>SUMPRODUCT($H$65:AY$65,$H30:AY30)</f>
        <v>0</v>
      </c>
    </row>
    <row r="31" spans="1:83">
      <c r="A31" s="16"/>
      <c r="B31" s="16"/>
      <c r="C31" s="16"/>
      <c r="D31" s="17"/>
      <c r="E31" s="178"/>
      <c r="F31" s="18" t="s">
        <v>128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IF(SUMPRODUCT($J$65:K$65,$J31:K31)&lt;0.5,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IF(SUMPRODUCT($J$65:N$65,$J31:N31)&lt;0.5,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IF(SUMPRODUCT($J$65:Q$65,$J31:Q31)&lt;0.5,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IF(SUMPRODUCT($J$65:T$65,$J31:T31)&lt;0.5,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IF(SUMPRODUCT($J$65:W$65,$J31:W31)&lt;0.5,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IF(SUMPRODUCT($J$65:Z$65,$J31:Z31)&lt;0.5,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IF(SUMPRODUCT($J$65:AC$65,$J31:AC31)&lt;0.5,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IF(SUMPRODUCT($J$65:AF$65,$J31:AF31)&lt;0.5,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IF(SUMPRODUCT($J$65:AI$65,$J31:AI31)&lt;0.5,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IF(SUMPRODUCT($J$65:AL$65,$J31:AL31)&lt;0.5,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IF(SUMPRODUCT($J$65:AO$65,$J31:AO31)&lt;0.5,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IF(SUMPRODUCT($J$65:AR$65,$J31:AR31)&lt;0.5,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IF(SUMPRODUCT($J$65:AU$65,$J31:AU31)&lt;0.5,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IF(SUMPRODUCT($J$65:AX$65,$J31:AX31)&lt;0.5,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IF(SUMPRODUCT($J$65:BA$65,$J31:BA31)&lt;0.5,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IF(SUMPRODUCT($J$65:BD$65,$J31:BD31)&lt;0.5,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IF(SUMPRODUCT($J$65:BG$65,$J31:BG31)&lt;0.5,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IF(SUMPRODUCT($J$65:BJ$65,$J31:BJ31)&lt;0.5,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IF(SUMPRODUCT($J$65:BM$65,$J31:BM31)&lt;0.5,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IF(SUMPRODUCT($J$65:BP$65,$J31:BP31)&lt;0.5,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IF(SUMPRODUCT($J$65:BS$65,$J31:BS31)&lt;0.5,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IF(SUMPRODUCT($J$65:BV$65,$J31:BV31)&lt;0.5,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IF(SUMPRODUCT($J$65:BY$65,$J31:BY31)&lt;0.5,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IF(SUMPRODUCT($J$65:CB$65,$J31:CB31)&lt;0.5, "Pending", IF(CB31&lt;0.5, "Complete", "In Progress"))</f>
        <v>#REF!</v>
      </c>
      <c r="CD31" s="24"/>
      <c r="CE31" s="25">
        <f>SUMPRODUCT($H$65:AY$65,$H31:AY31)</f>
        <v>0</v>
      </c>
    </row>
    <row r="32" spans="1:83">
      <c r="A32" s="16"/>
      <c r="B32" s="16"/>
      <c r="C32" s="16"/>
      <c r="D32" s="17"/>
      <c r="E32" s="178"/>
      <c r="F32" s="18" t="s">
        <v>128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IF(SUMPRODUCT($J$65:K$65,$J32:K32)&lt;0.5,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IF(SUMPRODUCT($J$65:N$65,$J32:N32)&lt;0.5,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IF(SUMPRODUCT($J$65:Q$65,$J32:Q32)&lt;0.5,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IF(SUMPRODUCT($J$65:T$65,$J32:T32)&lt;0.5,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IF(SUMPRODUCT($J$65:W$65,$J32:W32)&lt;0.5,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IF(SUMPRODUCT($J$65:Z$65,$J32:Z32)&lt;0.5,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IF(SUMPRODUCT($J$65:AC$65,$J32:AC32)&lt;0.5,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IF(SUMPRODUCT($J$65:AF$65,$J32:AF32)&lt;0.5,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IF(SUMPRODUCT($J$65:AI$65,$J32:AI32)&lt;0.5,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IF(SUMPRODUCT($J$65:AL$65,$J32:AL32)&lt;0.5,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IF(SUMPRODUCT($J$65:AO$65,$J32:AO32)&lt;0.5,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IF(SUMPRODUCT($J$65:AR$65,$J32:AR32)&lt;0.5,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IF(SUMPRODUCT($J$65:AU$65,$J32:AU32)&lt;0.5,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IF(SUMPRODUCT($J$65:AX$65,$J32:AX32)&lt;0.5,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IF(SUMPRODUCT($J$65:BA$65,$J32:BA32)&lt;0.5,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IF(SUMPRODUCT($J$65:BD$65,$J32:BD32)&lt;0.5,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IF(SUMPRODUCT($J$65:BG$65,$J32:BG32)&lt;0.5,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IF(SUMPRODUCT($J$65:BJ$65,$J32:BJ32)&lt;0.5,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IF(SUMPRODUCT($J$65:BM$65,$J32:BM32)&lt;0.5,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IF(SUMPRODUCT($J$65:BP$65,$J32:BP32)&lt;0.5,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IF(SUMPRODUCT($J$65:BS$65,$J32:BS32)&lt;0.5,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IF(SUMPRODUCT($J$65:BV$65,$J32:BV32)&lt;0.5,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IF(SUMPRODUCT($J$65:BY$65,$J32:BY32)&lt;0.5,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IF(SUMPRODUCT($J$65:CB$65,$J32:CB32)&lt;0.5, "Pending", IF(CB32&lt;0.5, "Complete", "In Progress"))</f>
        <v>#REF!</v>
      </c>
      <c r="CD32" s="24"/>
      <c r="CE32" s="25">
        <f>SUMPRODUCT($H$65:AY$65,$H32:AY32)</f>
        <v>0</v>
      </c>
    </row>
    <row r="33" spans="1:83">
      <c r="A33" s="16"/>
      <c r="B33" s="16"/>
      <c r="C33" s="16"/>
      <c r="D33" s="17"/>
      <c r="E33" s="178"/>
      <c r="F33" s="18" t="s">
        <v>128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IF(SUMPRODUCT($J$65:K$65,$J33:K33)&lt;0.5,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IF(SUMPRODUCT($J$65:N$65,$J33:N33)&lt;0.5,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IF(SUMPRODUCT($J$65:Q$65,$J33:Q33)&lt;0.5,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IF(SUMPRODUCT($J$65:T$65,$J33:T33)&lt;0.5,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IF(SUMPRODUCT($J$65:W$65,$J33:W33)&lt;0.5,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IF(SUMPRODUCT($J$65:Z$65,$J33:Z33)&lt;0.5,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IF(SUMPRODUCT($J$65:AC$65,$J33:AC33)&lt;0.5,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IF(SUMPRODUCT($J$65:AF$65,$J33:AF33)&lt;0.5,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IF(SUMPRODUCT($J$65:AI$65,$J33:AI33)&lt;0.5,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IF(SUMPRODUCT($J$65:AL$65,$J33:AL33)&lt;0.5,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IF(SUMPRODUCT($J$65:AO$65,$J33:AO33)&lt;0.5,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IF(SUMPRODUCT($J$65:AR$65,$J33:AR33)&lt;0.5,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IF(SUMPRODUCT($J$65:AU$65,$J33:AU33)&lt;0.5,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IF(SUMPRODUCT($J$65:AX$65,$J33:AX33)&lt;0.5,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IF(SUMPRODUCT($J$65:BA$65,$J33:BA33)&lt;0.5,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IF(SUMPRODUCT($J$65:BD$65,$J33:BD33)&lt;0.5,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IF(SUMPRODUCT($J$65:BG$65,$J33:BG33)&lt;0.5,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IF(SUMPRODUCT($J$65:BJ$65,$J33:BJ33)&lt;0.5,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IF(SUMPRODUCT($J$65:BM$65,$J33:BM33)&lt;0.5,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IF(SUMPRODUCT($J$65:BP$65,$J33:BP33)&lt;0.5,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IF(SUMPRODUCT($J$65:BS$65,$J33:BS33)&lt;0.5,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IF(SUMPRODUCT($J$65:BV$65,$J33:BV33)&lt;0.5,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IF(SUMPRODUCT($J$65:BY$65,$J33:BY33)&lt;0.5,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IF(SUMPRODUCT($J$65:CB$65,$J33:CB33)&lt;0.5, "Pending", IF(CB33&lt;0.5, "Complete", "In Progress"))</f>
        <v>#REF!</v>
      </c>
      <c r="CD33" s="24"/>
      <c r="CE33" s="25">
        <f>SUMPRODUCT($H$65:AY$65,$H33:AY33)</f>
        <v>0</v>
      </c>
    </row>
    <row r="34" spans="1:83">
      <c r="A34" s="16"/>
      <c r="B34" s="16"/>
      <c r="C34" s="16"/>
      <c r="D34" s="17"/>
      <c r="E34" s="178"/>
      <c r="F34" s="18" t="s">
        <v>128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IF(SUMPRODUCT($J$65:K$65,$J34:K34)&lt;0.5,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IF(SUMPRODUCT($J$65:N$65,$J34:N34)&lt;0.5,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IF(SUMPRODUCT($J$65:Q$65,$J34:Q34)&lt;0.5,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IF(SUMPRODUCT($J$65:T$65,$J34:T34)&lt;0.5,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IF(SUMPRODUCT($J$65:W$65,$J34:W34)&lt;0.5,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IF(SUMPRODUCT($J$65:Z$65,$J34:Z34)&lt;0.5,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IF(SUMPRODUCT($J$65:AC$65,$J34:AC34)&lt;0.5,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IF(SUMPRODUCT($J$65:AF$65,$J34:AF34)&lt;0.5,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IF(SUMPRODUCT($J$65:AI$65,$J34:AI34)&lt;0.5,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IF(SUMPRODUCT($J$65:AL$65,$J34:AL34)&lt;0.5,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IF(SUMPRODUCT($J$65:AO$65,$J34:AO34)&lt;0.5,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IF(SUMPRODUCT($J$65:AR$65,$J34:AR34)&lt;0.5,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IF(SUMPRODUCT($J$65:AU$65,$J34:AU34)&lt;0.5,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IF(SUMPRODUCT($J$65:AX$65,$J34:AX34)&lt;0.5,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IF(SUMPRODUCT($J$65:BA$65,$J34:BA34)&lt;0.5,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IF(SUMPRODUCT($J$65:BD$65,$J34:BD34)&lt;0.5,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IF(SUMPRODUCT($J$65:BG$65,$J34:BG34)&lt;0.5,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IF(SUMPRODUCT($J$65:BJ$65,$J34:BJ34)&lt;0.5,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IF(SUMPRODUCT($J$65:BM$65,$J34:BM34)&lt;0.5,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IF(SUMPRODUCT($J$65:BP$65,$J34:BP34)&lt;0.5,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IF(SUMPRODUCT($J$65:BS$65,$J34:BS34)&lt;0.5,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IF(SUMPRODUCT($J$65:BV$65,$J34:BV34)&lt;0.5,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IF(SUMPRODUCT($J$65:BY$65,$J34:BY34)&lt;0.5,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IF(SUMPRODUCT($J$65:CB$65,$J34:CB34)&lt;0.5, "Pending", IF(CB34&lt;0.5, "Complete", "In Progress"))</f>
        <v>#REF!</v>
      </c>
      <c r="CD34" s="24"/>
      <c r="CE34" s="25">
        <f>SUMPRODUCT($H$65:AY$65,$H34:AY34)</f>
        <v>0</v>
      </c>
    </row>
    <row r="35" spans="1:83">
      <c r="A35" s="16"/>
      <c r="B35" s="16"/>
      <c r="C35" s="16"/>
      <c r="D35" s="17"/>
      <c r="E35" s="178"/>
      <c r="F35" s="18" t="s">
        <v>128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IF(SUMPRODUCT($J$65:K$65,$J35:K35)&lt;0.5,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IF(SUMPRODUCT($J$65:N$65,$J35:N35)&lt;0.5,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IF(SUMPRODUCT($J$65:Q$65,$J35:Q35)&lt;0.5,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IF(SUMPRODUCT($J$65:T$65,$J35:T35)&lt;0.5,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IF(SUMPRODUCT($J$65:W$65,$J35:W35)&lt;0.5,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IF(SUMPRODUCT($J$65:Z$65,$J35:Z35)&lt;0.5,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IF(SUMPRODUCT($J$65:AC$65,$J35:AC35)&lt;0.5,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IF(SUMPRODUCT($J$65:AF$65,$J35:AF35)&lt;0.5,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IF(SUMPRODUCT($J$65:AI$65,$J35:AI35)&lt;0.5,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IF(SUMPRODUCT($J$65:AL$65,$J35:AL35)&lt;0.5,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IF(SUMPRODUCT($J$65:AO$65,$J35:AO35)&lt;0.5,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IF(SUMPRODUCT($J$65:AR$65,$J35:AR35)&lt;0.5,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IF(SUMPRODUCT($J$65:AU$65,$J35:AU35)&lt;0.5,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IF(SUMPRODUCT($J$65:AX$65,$J35:AX35)&lt;0.5,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IF(SUMPRODUCT($J$65:BA$65,$J35:BA35)&lt;0.5,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IF(SUMPRODUCT($J$65:BD$65,$J35:BD35)&lt;0.5,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IF(SUMPRODUCT($J$65:BG$65,$J35:BG35)&lt;0.5,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IF(SUMPRODUCT($J$65:BJ$65,$J35:BJ35)&lt;0.5,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IF(SUMPRODUCT($J$65:BM$65,$J35:BM35)&lt;0.5,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IF(SUMPRODUCT($J$65:BP$65,$J35:BP35)&lt;0.5,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IF(SUMPRODUCT($J$65:BS$65,$J35:BS35)&lt;0.5,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IF(SUMPRODUCT($J$65:BV$65,$J35:BV35)&lt;0.5,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IF(SUMPRODUCT($J$65:BY$65,$J35:BY35)&lt;0.5,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IF(SUMPRODUCT($J$65:CB$65,$J35:CB35)&lt;0.5, "Pending", IF(CB35&lt;0.5, "Complete", "In Progress"))</f>
        <v>#REF!</v>
      </c>
      <c r="CD35" s="24"/>
      <c r="CE35" s="25">
        <f>SUMPRODUCT($H$65:AY$65,$H35:AY35)</f>
        <v>0</v>
      </c>
    </row>
    <row r="36" spans="1:83">
      <c r="A36" s="16"/>
      <c r="B36" s="16"/>
      <c r="C36" s="16"/>
      <c r="D36" s="17"/>
      <c r="E36" s="178"/>
      <c r="F36" s="18" t="s">
        <v>128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IF(SUMPRODUCT($J$65:K$65,$J36:K36)&lt;0.5,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IF(SUMPRODUCT($J$65:N$65,$J36:N36)&lt;0.5,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IF(SUMPRODUCT($J$65:Q$65,$J36:Q36)&lt;0.5,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IF(SUMPRODUCT($J$65:T$65,$J36:T36)&lt;0.5,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IF(SUMPRODUCT($J$65:W$65,$J36:W36)&lt;0.5,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IF(SUMPRODUCT($J$65:Z$65,$J36:Z36)&lt;0.5,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IF(SUMPRODUCT($J$65:AC$65,$J36:AC36)&lt;0.5,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IF(SUMPRODUCT($J$65:AF$65,$J36:AF36)&lt;0.5,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IF(SUMPRODUCT($J$65:AI$65,$J36:AI36)&lt;0.5,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IF(SUMPRODUCT($J$65:AL$65,$J36:AL36)&lt;0.5,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IF(SUMPRODUCT($J$65:AO$65,$J36:AO36)&lt;0.5,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IF(SUMPRODUCT($J$65:AR$65,$J36:AR36)&lt;0.5,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IF(SUMPRODUCT($J$65:AU$65,$J36:AU36)&lt;0.5,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IF(SUMPRODUCT($J$65:AX$65,$J36:AX36)&lt;0.5,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IF(SUMPRODUCT($J$65:BA$65,$J36:BA36)&lt;0.5,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IF(SUMPRODUCT($J$65:BD$65,$J36:BD36)&lt;0.5,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IF(SUMPRODUCT($J$65:BG$65,$J36:BG36)&lt;0.5,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IF(SUMPRODUCT($J$65:BJ$65,$J36:BJ36)&lt;0.5,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IF(SUMPRODUCT($J$65:BM$65,$J36:BM36)&lt;0.5,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IF(SUMPRODUCT($J$65:BP$65,$J36:BP36)&lt;0.5,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IF(SUMPRODUCT($J$65:BS$65,$J36:BS36)&lt;0.5,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IF(SUMPRODUCT($J$65:BV$65,$J36:BV36)&lt;0.5,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IF(SUMPRODUCT($J$65:BY$65,$J36:BY36)&lt;0.5,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IF(SUMPRODUCT($J$65:CB$65,$J36:CB36)&lt;0.5, "Pending", IF(CB36&lt;0.5, "Complete", "In Progress"))</f>
        <v>#REF!</v>
      </c>
      <c r="CD36" s="24"/>
      <c r="CE36" s="25">
        <f>SUMPRODUCT($H$65:AY$65,$H36:AY36)</f>
        <v>0</v>
      </c>
    </row>
    <row r="37" spans="1:83">
      <c r="A37" s="16"/>
      <c r="B37" s="16"/>
      <c r="C37" s="16"/>
      <c r="D37" s="17"/>
      <c r="E37" s="178"/>
      <c r="F37" s="18" t="s">
        <v>128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IF(SUMPRODUCT($J$65:K$65,$J37:K37)&lt;0.5,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IF(SUMPRODUCT($J$65:N$65,$J37:N37)&lt;0.5,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IF(SUMPRODUCT($J$65:Q$65,$J37:Q37)&lt;0.5,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IF(SUMPRODUCT($J$65:T$65,$J37:T37)&lt;0.5,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IF(SUMPRODUCT($J$65:W$65,$J37:W37)&lt;0.5,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IF(SUMPRODUCT($J$65:Z$65,$J37:Z37)&lt;0.5,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IF(SUMPRODUCT($J$65:AC$65,$J37:AC37)&lt;0.5,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IF(SUMPRODUCT($J$65:AF$65,$J37:AF37)&lt;0.5,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IF(SUMPRODUCT($J$65:AI$65,$J37:AI37)&lt;0.5,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IF(SUMPRODUCT($J$65:AL$65,$J37:AL37)&lt;0.5,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IF(SUMPRODUCT($J$65:AO$65,$J37:AO37)&lt;0.5,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IF(SUMPRODUCT($J$65:AR$65,$J37:AR37)&lt;0.5,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IF(SUMPRODUCT($J$65:AU$65,$J37:AU37)&lt;0.5,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IF(SUMPRODUCT($J$65:AX$65,$J37:AX37)&lt;0.5,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IF(SUMPRODUCT($J$65:BA$65,$J37:BA37)&lt;0.5,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IF(SUMPRODUCT($J$65:BD$65,$J37:BD37)&lt;0.5,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IF(SUMPRODUCT($J$65:BG$65,$J37:BG37)&lt;0.5,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IF(SUMPRODUCT($J$65:BJ$65,$J37:BJ37)&lt;0.5,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IF(SUMPRODUCT($J$65:BM$65,$J37:BM37)&lt;0.5,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IF(SUMPRODUCT($J$65:BP$65,$J37:BP37)&lt;0.5,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IF(SUMPRODUCT($J$65:BS$65,$J37:BS37)&lt;0.5,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IF(SUMPRODUCT($J$65:BV$65,$J37:BV37)&lt;0.5,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IF(SUMPRODUCT($J$65:BY$65,$J37:BY37)&lt;0.5,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IF(SUMPRODUCT($J$65:CB$65,$J37:CB37)&lt;0.5, "Pending", IF(CB37&lt;0.5, "Complete", "In Progress"))</f>
        <v>#REF!</v>
      </c>
      <c r="CD37" s="24"/>
      <c r="CE37" s="25">
        <f>SUMPRODUCT($H$65:AY$65,$H37:AY37)</f>
        <v>0</v>
      </c>
    </row>
    <row r="38" spans="1:83">
      <c r="A38" s="16"/>
      <c r="B38" s="16"/>
      <c r="C38" s="16"/>
      <c r="D38" s="17"/>
      <c r="E38" s="178"/>
      <c r="F38" s="18" t="s">
        <v>128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IF(SUMPRODUCT($J$65:K$65,$J38:K38)&lt;0.5,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IF(SUMPRODUCT($J$65:N$65,$J38:N38)&lt;0.5,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IF(SUMPRODUCT($J$65:Q$65,$J38:Q38)&lt;0.5,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IF(SUMPRODUCT($J$65:T$65,$J38:T38)&lt;0.5,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IF(SUMPRODUCT($J$65:W$65,$J38:W38)&lt;0.5,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IF(SUMPRODUCT($J$65:Z$65,$J38:Z38)&lt;0.5,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IF(SUMPRODUCT($J$65:AC$65,$J38:AC38)&lt;0.5,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IF(SUMPRODUCT($J$65:AF$65,$J38:AF38)&lt;0.5,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IF(SUMPRODUCT($J$65:AI$65,$J38:AI38)&lt;0.5,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IF(SUMPRODUCT($J$65:AL$65,$J38:AL38)&lt;0.5,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IF(SUMPRODUCT($J$65:AO$65,$J38:AO38)&lt;0.5,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IF(SUMPRODUCT($J$65:AR$65,$J38:AR38)&lt;0.5,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IF(SUMPRODUCT($J$65:AU$65,$J38:AU38)&lt;0.5,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IF(SUMPRODUCT($J$65:AX$65,$J38:AX38)&lt;0.5,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IF(SUMPRODUCT($J$65:BA$65,$J38:BA38)&lt;0.5,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IF(SUMPRODUCT($J$65:BD$65,$J38:BD38)&lt;0.5,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IF(SUMPRODUCT($J$65:BG$65,$J38:BG38)&lt;0.5,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IF(SUMPRODUCT($J$65:BJ$65,$J38:BJ38)&lt;0.5,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IF(SUMPRODUCT($J$65:BM$65,$J38:BM38)&lt;0.5,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IF(SUMPRODUCT($J$65:BP$65,$J38:BP38)&lt;0.5,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IF(SUMPRODUCT($J$65:BS$65,$J38:BS38)&lt;0.5,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IF(SUMPRODUCT($J$65:BV$65,$J38:BV38)&lt;0.5,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IF(SUMPRODUCT($J$65:BY$65,$J38:BY38)&lt;0.5,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IF(SUMPRODUCT($J$65:CB$65,$J38:CB38)&lt;0.5, "Pending", IF(CB38&lt;0.5, "Complete", "In Progress"))</f>
        <v>#REF!</v>
      </c>
      <c r="CD38" s="24"/>
      <c r="CE38" s="25">
        <f>SUMPRODUCT($H$65:AY$65,$H38:AY38)</f>
        <v>0</v>
      </c>
    </row>
    <row r="39" spans="1:83">
      <c r="A39" s="16"/>
      <c r="B39" s="16"/>
      <c r="C39" s="16"/>
      <c r="D39" s="17"/>
      <c r="E39" s="178"/>
      <c r="F39" s="18" t="s">
        <v>128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IF(SUMPRODUCT($J$65:K$65,$J39:K39)&lt;0.5,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IF(SUMPRODUCT($J$65:N$65,$J39:N39)&lt;0.5,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IF(SUMPRODUCT($J$65:Q$65,$J39:Q39)&lt;0.5,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IF(SUMPRODUCT($J$65:T$65,$J39:T39)&lt;0.5,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IF(SUMPRODUCT($J$65:W$65,$J39:W39)&lt;0.5,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IF(SUMPRODUCT($J$65:Z$65,$J39:Z39)&lt;0.5,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IF(SUMPRODUCT($J$65:AC$65,$J39:AC39)&lt;0.5,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IF(SUMPRODUCT($J$65:AF$65,$J39:AF39)&lt;0.5,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IF(SUMPRODUCT($J$65:AI$65,$J39:AI39)&lt;0.5,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IF(SUMPRODUCT($J$65:AL$65,$J39:AL39)&lt;0.5,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IF(SUMPRODUCT($J$65:AO$65,$J39:AO39)&lt;0.5,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IF(SUMPRODUCT($J$65:AR$65,$J39:AR39)&lt;0.5,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IF(SUMPRODUCT($J$65:AU$65,$J39:AU39)&lt;0.5,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IF(SUMPRODUCT($J$65:AX$65,$J39:AX39)&lt;0.5,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IF(SUMPRODUCT($J$65:BA$65,$J39:BA39)&lt;0.5,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IF(SUMPRODUCT($J$65:BD$65,$J39:BD39)&lt;0.5,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IF(SUMPRODUCT($J$65:BG$65,$J39:BG39)&lt;0.5,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IF(SUMPRODUCT($J$65:BJ$65,$J39:BJ39)&lt;0.5,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IF(SUMPRODUCT($J$65:BM$65,$J39:BM39)&lt;0.5,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IF(SUMPRODUCT($J$65:BP$65,$J39:BP39)&lt;0.5,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IF(SUMPRODUCT($J$65:BS$65,$J39:BS39)&lt;0.5,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IF(SUMPRODUCT($J$65:BV$65,$J39:BV39)&lt;0.5,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IF(SUMPRODUCT($J$65:BY$65,$J39:BY39)&lt;0.5,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IF(SUMPRODUCT($J$65:CB$65,$J39:CB39)&lt;0.5, "Pending", IF(CB39&lt;0.5, "Complete", "In Progress"))</f>
        <v>#REF!</v>
      </c>
      <c r="CD39" s="24"/>
      <c r="CE39" s="25">
        <f>SUMPRODUCT($H$65:AY$65,$H39:AY39)</f>
        <v>0</v>
      </c>
    </row>
    <row r="40" spans="1:83">
      <c r="A40" s="16"/>
      <c r="B40" s="16"/>
      <c r="C40" s="16"/>
      <c r="D40" s="17"/>
      <c r="E40" s="178"/>
      <c r="F40" s="18" t="s">
        <v>128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IF(SUMPRODUCT($J$65:K$65,$J40:K40)&lt;0.5,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IF(SUMPRODUCT($J$65:N$65,$J40:N40)&lt;0.5,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IF(SUMPRODUCT($J$65:Q$65,$J40:Q40)&lt;0.5,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IF(SUMPRODUCT($J$65:T$65,$J40:T40)&lt;0.5,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IF(SUMPRODUCT($J$65:W$65,$J40:W40)&lt;0.5,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IF(SUMPRODUCT($J$65:Z$65,$J40:Z40)&lt;0.5,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IF(SUMPRODUCT($J$65:AC$65,$J40:AC40)&lt;0.5,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IF(SUMPRODUCT($J$65:AF$65,$J40:AF40)&lt;0.5,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IF(SUMPRODUCT($J$65:AI$65,$J40:AI40)&lt;0.5,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IF(SUMPRODUCT($J$65:AL$65,$J40:AL40)&lt;0.5,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IF(SUMPRODUCT($J$65:AO$65,$J40:AO40)&lt;0.5,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IF(SUMPRODUCT($J$65:AR$65,$J40:AR40)&lt;0.5,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IF(SUMPRODUCT($J$65:AU$65,$J40:AU40)&lt;0.5,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IF(SUMPRODUCT($J$65:AX$65,$J40:AX40)&lt;0.5,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IF(SUMPRODUCT($J$65:BA$65,$J40:BA40)&lt;0.5,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IF(SUMPRODUCT($J$65:BD$65,$J40:BD40)&lt;0.5,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IF(SUMPRODUCT($J$65:BG$65,$J40:BG40)&lt;0.5,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IF(SUMPRODUCT($J$65:BJ$65,$J40:BJ40)&lt;0.5,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IF(SUMPRODUCT($J$65:BM$65,$J40:BM40)&lt;0.5,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IF(SUMPRODUCT($J$65:BP$65,$J40:BP40)&lt;0.5,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IF(SUMPRODUCT($J$65:BS$65,$J40:BS40)&lt;0.5,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IF(SUMPRODUCT($J$65:BV$65,$J40:BV40)&lt;0.5,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IF(SUMPRODUCT($J$65:BY$65,$J40:BY40)&lt;0.5,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IF(SUMPRODUCT($J$65:CB$65,$J40:CB40)&lt;0.5, "Pending", IF(CB40&lt;0.5, "Complete", "In Progress"))</f>
        <v>#REF!</v>
      </c>
      <c r="CD40" s="24"/>
      <c r="CE40" s="25">
        <f>SUMPRODUCT($H$65:AY$65,$H40:AY40)</f>
        <v>0</v>
      </c>
    </row>
    <row r="41" spans="1:83">
      <c r="A41" s="16"/>
      <c r="B41" s="16"/>
      <c r="C41" s="16"/>
      <c r="D41" s="17"/>
      <c r="E41" s="178"/>
      <c r="F41" s="18" t="s">
        <v>128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IF(SUMPRODUCT($J$65:K$65,$J41:K41)&lt;0.5,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IF(SUMPRODUCT($J$65:N$65,$J41:N41)&lt;0.5,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IF(SUMPRODUCT($J$65:Q$65,$J41:Q41)&lt;0.5,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IF(SUMPRODUCT($J$65:T$65,$J41:T41)&lt;0.5,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IF(SUMPRODUCT($J$65:W$65,$J41:W41)&lt;0.5,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IF(SUMPRODUCT($J$65:Z$65,$J41:Z41)&lt;0.5,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IF(SUMPRODUCT($J$65:AC$65,$J41:AC41)&lt;0.5,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IF(SUMPRODUCT($J$65:AF$65,$J41:AF41)&lt;0.5,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IF(SUMPRODUCT($J$65:AI$65,$J41:AI41)&lt;0.5,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IF(SUMPRODUCT($J$65:AL$65,$J41:AL41)&lt;0.5,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IF(SUMPRODUCT($J$65:AO$65,$J41:AO41)&lt;0.5,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IF(SUMPRODUCT($J$65:AR$65,$J41:AR41)&lt;0.5,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IF(SUMPRODUCT($J$65:AU$65,$J41:AU41)&lt;0.5,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IF(SUMPRODUCT($J$65:AX$65,$J41:AX41)&lt;0.5,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IF(SUMPRODUCT($J$65:BA$65,$J41:BA41)&lt;0.5,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IF(SUMPRODUCT($J$65:BD$65,$J41:BD41)&lt;0.5,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IF(SUMPRODUCT($J$65:BG$65,$J41:BG41)&lt;0.5,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IF(SUMPRODUCT($J$65:BJ$65,$J41:BJ41)&lt;0.5,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IF(SUMPRODUCT($J$65:BM$65,$J41:BM41)&lt;0.5,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IF(SUMPRODUCT($J$65:BP$65,$J41:BP41)&lt;0.5,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IF(SUMPRODUCT($J$65:BS$65,$J41:BS41)&lt;0.5,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IF(SUMPRODUCT($J$65:BV$65,$J41:BV41)&lt;0.5,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IF(SUMPRODUCT($J$65:BY$65,$J41:BY41)&lt;0.5,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IF(SUMPRODUCT($J$65:CB$65,$J41:CB41)&lt;0.5, "Pending", IF(CB41&lt;0.5, "Complete", "In Progress"))</f>
        <v>#REF!</v>
      </c>
      <c r="CD41" s="24"/>
      <c r="CE41" s="25">
        <f>SUMPRODUCT($H$65:AY$65,$H41:AY41)</f>
        <v>0</v>
      </c>
    </row>
    <row r="42" spans="1:83">
      <c r="A42" s="16"/>
      <c r="B42" s="16"/>
      <c r="C42" s="16"/>
      <c r="D42" s="17"/>
      <c r="E42" s="178"/>
      <c r="F42" s="18" t="s">
        <v>128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IF(SUMPRODUCT($J$65:K$65,$J42:K42)&lt;0.5,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IF(SUMPRODUCT($J$65:N$65,$J42:N42)&lt;0.5,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IF(SUMPRODUCT($J$65:Q$65,$J42:Q42)&lt;0.5,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IF(SUMPRODUCT($J$65:T$65,$J42:T42)&lt;0.5,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IF(SUMPRODUCT($J$65:W$65,$J42:W42)&lt;0.5,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IF(SUMPRODUCT($J$65:Z$65,$J42:Z42)&lt;0.5,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IF(SUMPRODUCT($J$65:AC$65,$J42:AC42)&lt;0.5,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IF(SUMPRODUCT($J$65:AF$65,$J42:AF42)&lt;0.5,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IF(SUMPRODUCT($J$65:AI$65,$J42:AI42)&lt;0.5,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IF(SUMPRODUCT($J$65:AL$65,$J42:AL42)&lt;0.5,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IF(SUMPRODUCT($J$65:AO$65,$J42:AO42)&lt;0.5,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IF(SUMPRODUCT($J$65:AR$65,$J42:AR42)&lt;0.5,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IF(SUMPRODUCT($J$65:AU$65,$J42:AU42)&lt;0.5,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IF(SUMPRODUCT($J$65:AX$65,$J42:AX42)&lt;0.5,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IF(SUMPRODUCT($J$65:BA$65,$J42:BA42)&lt;0.5,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IF(SUMPRODUCT($J$65:BD$65,$J42:BD42)&lt;0.5,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IF(SUMPRODUCT($J$65:BG$65,$J42:BG42)&lt;0.5,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IF(SUMPRODUCT($J$65:BJ$65,$J42:BJ42)&lt;0.5,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IF(SUMPRODUCT($J$65:BM$65,$J42:BM42)&lt;0.5,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IF(SUMPRODUCT($J$65:BP$65,$J42:BP42)&lt;0.5,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IF(SUMPRODUCT($J$65:BS$65,$J42:BS42)&lt;0.5,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IF(SUMPRODUCT($J$65:BV$65,$J42:BV42)&lt;0.5,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IF(SUMPRODUCT($J$65:BY$65,$J42:BY42)&lt;0.5,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IF(SUMPRODUCT($J$65:CB$65,$J42:CB42)&lt;0.5, "Pending", IF(CB42&lt;0.5, "Complete", "In Progress"))</f>
        <v>#REF!</v>
      </c>
      <c r="CD42" s="24"/>
      <c r="CE42" s="25">
        <f>SUMPRODUCT($H$65:AY$65,$H42:AY42)</f>
        <v>0</v>
      </c>
    </row>
    <row r="43" spans="1:83">
      <c r="A43" s="16"/>
      <c r="B43" s="16"/>
      <c r="C43" s="16"/>
      <c r="D43" s="17"/>
      <c r="E43" s="178"/>
      <c r="F43" s="18" t="s">
        <v>128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IF(SUMPRODUCT($J$65:K$65,$J43:K43)&lt;0.5,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IF(SUMPRODUCT($J$65:N$65,$J43:N43)&lt;0.5,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IF(SUMPRODUCT($J$65:Q$65,$J43:Q43)&lt;0.5,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IF(SUMPRODUCT($J$65:T$65,$J43:T43)&lt;0.5,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IF(SUMPRODUCT($J$65:W$65,$J43:W43)&lt;0.5,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IF(SUMPRODUCT($J$65:Z$65,$J43:Z43)&lt;0.5,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IF(SUMPRODUCT($J$65:AC$65,$J43:AC43)&lt;0.5,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IF(SUMPRODUCT($J$65:AF$65,$J43:AF43)&lt;0.5,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IF(SUMPRODUCT($J$65:AI$65,$J43:AI43)&lt;0.5,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IF(SUMPRODUCT($J$65:AL$65,$J43:AL43)&lt;0.5,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IF(SUMPRODUCT($J$65:AO$65,$J43:AO43)&lt;0.5,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IF(SUMPRODUCT($J$65:AR$65,$J43:AR43)&lt;0.5,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IF(SUMPRODUCT($J$65:AU$65,$J43:AU43)&lt;0.5,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IF(SUMPRODUCT($J$65:AX$65,$J43:AX43)&lt;0.5,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IF(SUMPRODUCT($J$65:BA$65,$J43:BA43)&lt;0.5,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IF(SUMPRODUCT($J$65:BD$65,$J43:BD43)&lt;0.5,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IF(SUMPRODUCT($J$65:BG$65,$J43:BG43)&lt;0.5,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IF(SUMPRODUCT($J$65:BJ$65,$J43:BJ43)&lt;0.5,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IF(SUMPRODUCT($J$65:BM$65,$J43:BM43)&lt;0.5,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IF(SUMPRODUCT($J$65:BP$65,$J43:BP43)&lt;0.5,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IF(SUMPRODUCT($J$65:BS$65,$J43:BS43)&lt;0.5,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IF(SUMPRODUCT($J$65:BV$65,$J43:BV43)&lt;0.5,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IF(SUMPRODUCT($J$65:BY$65,$J43:BY43)&lt;0.5,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IF(SUMPRODUCT($J$65:CB$65,$J43:CB43)&lt;0.5, "Pending", IF(CB43&lt;0.5, "Complete", "In Progress"))</f>
        <v>#REF!</v>
      </c>
      <c r="CD43" s="24"/>
      <c r="CE43" s="25">
        <f>SUMPRODUCT($H$65:AY$65,$H43:AY43)</f>
        <v>0</v>
      </c>
    </row>
    <row r="44" spans="1:83">
      <c r="A44" s="16"/>
      <c r="B44" s="16"/>
      <c r="C44" s="16"/>
      <c r="D44" s="17"/>
      <c r="E44" s="178"/>
      <c r="F44" s="18" t="s">
        <v>128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IF(SUMPRODUCT($J$65:K$65,$J44:K44)&lt;0.5,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IF(SUMPRODUCT($J$65:N$65,$J44:N44)&lt;0.5,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IF(SUMPRODUCT($J$65:Q$65,$J44:Q44)&lt;0.5,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IF(SUMPRODUCT($J$65:T$65,$J44:T44)&lt;0.5,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IF(SUMPRODUCT($J$65:W$65,$J44:W44)&lt;0.5,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IF(SUMPRODUCT($J$65:Z$65,$J44:Z44)&lt;0.5,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IF(SUMPRODUCT($J$65:AC$65,$J44:AC44)&lt;0.5,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IF(SUMPRODUCT($J$65:AF$65,$J44:AF44)&lt;0.5,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IF(SUMPRODUCT($J$65:AI$65,$J44:AI44)&lt;0.5,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IF(SUMPRODUCT($J$65:AL$65,$J44:AL44)&lt;0.5,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IF(SUMPRODUCT($J$65:AO$65,$J44:AO44)&lt;0.5,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IF(SUMPRODUCT($J$65:AR$65,$J44:AR44)&lt;0.5,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IF(SUMPRODUCT($J$65:AU$65,$J44:AU44)&lt;0.5,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IF(SUMPRODUCT($J$65:AX$65,$J44:AX44)&lt;0.5,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IF(SUMPRODUCT($J$65:BA$65,$J44:BA44)&lt;0.5,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IF(SUMPRODUCT($J$65:BD$65,$J44:BD44)&lt;0.5,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IF(SUMPRODUCT($J$65:BG$65,$J44:BG44)&lt;0.5,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IF(SUMPRODUCT($J$65:BJ$65,$J44:BJ44)&lt;0.5,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IF(SUMPRODUCT($J$65:BM$65,$J44:BM44)&lt;0.5,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IF(SUMPRODUCT($J$65:BP$65,$J44:BP44)&lt;0.5,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IF(SUMPRODUCT($J$65:BS$65,$J44:BS44)&lt;0.5,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IF(SUMPRODUCT($J$65:BV$65,$J44:BV44)&lt;0.5,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IF(SUMPRODUCT($J$65:BY$65,$J44:BY44)&lt;0.5,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IF(SUMPRODUCT($J$65:CB$65,$J44:CB44)&lt;0.5, "Pending", IF(CB44&lt;0.5, "Complete", "In Progress"))</f>
        <v>#REF!</v>
      </c>
      <c r="CD44" s="24"/>
      <c r="CE44" s="25">
        <f>SUMPRODUCT($H$65:AY$65,$H44:AY44)</f>
        <v>0</v>
      </c>
    </row>
    <row r="45" spans="1:83">
      <c r="A45" s="16"/>
      <c r="B45" s="16"/>
      <c r="C45" s="16"/>
      <c r="D45" s="17"/>
      <c r="E45" s="178"/>
      <c r="F45" s="18" t="s">
        <v>128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IF(SUMPRODUCT($J$65:K$65,$J45:K45)&lt;0.5,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IF(SUMPRODUCT($J$65:N$65,$J45:N45)&lt;0.5,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IF(SUMPRODUCT($J$65:Q$65,$J45:Q45)&lt;0.5,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IF(SUMPRODUCT($J$65:T$65,$J45:T45)&lt;0.5,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IF(SUMPRODUCT($J$65:W$65,$J45:W45)&lt;0.5,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IF(SUMPRODUCT($J$65:Z$65,$J45:Z45)&lt;0.5,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IF(SUMPRODUCT($J$65:AC$65,$J45:AC45)&lt;0.5,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IF(SUMPRODUCT($J$65:AF$65,$J45:AF45)&lt;0.5,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IF(SUMPRODUCT($J$65:AI$65,$J45:AI45)&lt;0.5,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IF(SUMPRODUCT($J$65:AL$65,$J45:AL45)&lt;0.5,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IF(SUMPRODUCT($J$65:AO$65,$J45:AO45)&lt;0.5,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IF(SUMPRODUCT($J$65:AR$65,$J45:AR45)&lt;0.5,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IF(SUMPRODUCT($J$65:AU$65,$J45:AU45)&lt;0.5,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IF(SUMPRODUCT($J$65:AX$65,$J45:AX45)&lt;0.5,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IF(SUMPRODUCT($J$65:BA$65,$J45:BA45)&lt;0.5,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IF(SUMPRODUCT($J$65:BD$65,$J45:BD45)&lt;0.5,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IF(SUMPRODUCT($J$65:BG$65,$J45:BG45)&lt;0.5,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IF(SUMPRODUCT($J$65:BJ$65,$J45:BJ45)&lt;0.5,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IF(SUMPRODUCT($J$65:BM$65,$J45:BM45)&lt;0.5,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IF(SUMPRODUCT($J$65:BP$65,$J45:BP45)&lt;0.5,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IF(SUMPRODUCT($J$65:BS$65,$J45:BS45)&lt;0.5,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IF(SUMPRODUCT($J$65:BV$65,$J45:BV45)&lt;0.5,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IF(SUMPRODUCT($J$65:BY$65,$J45:BY45)&lt;0.5,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IF(SUMPRODUCT($J$65:CB$65,$J45:CB45)&lt;0.5, "Pending", IF(CB45&lt;0.5, "Complete", "In Progress"))</f>
        <v>#REF!</v>
      </c>
      <c r="CD45" s="24"/>
      <c r="CE45" s="25">
        <f>SUMPRODUCT($H$65:AY$65,$H45:AY45)</f>
        <v>0</v>
      </c>
    </row>
    <row r="46" spans="1:83">
      <c r="A46" s="16"/>
      <c r="B46" s="16"/>
      <c r="C46" s="16"/>
      <c r="D46" s="17"/>
      <c r="E46" s="178"/>
      <c r="F46" s="18" t="s">
        <v>128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IF(SUMPRODUCT($J$65:K$65,$J46:K46)&lt;0.5,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IF(SUMPRODUCT($J$65:N$65,$J46:N46)&lt;0.5,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IF(SUMPRODUCT($J$65:Q$65,$J46:Q46)&lt;0.5,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IF(SUMPRODUCT($J$65:T$65,$J46:T46)&lt;0.5,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IF(SUMPRODUCT($J$65:W$65,$J46:W46)&lt;0.5,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IF(SUMPRODUCT($J$65:Z$65,$J46:Z46)&lt;0.5,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IF(SUMPRODUCT($J$65:AC$65,$J46:AC46)&lt;0.5,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IF(SUMPRODUCT($J$65:AF$65,$J46:AF46)&lt;0.5,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IF(SUMPRODUCT($J$65:AI$65,$J46:AI46)&lt;0.5,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IF(SUMPRODUCT($J$65:AL$65,$J46:AL46)&lt;0.5,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IF(SUMPRODUCT($J$65:AO$65,$J46:AO46)&lt;0.5,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IF(SUMPRODUCT($J$65:AR$65,$J46:AR46)&lt;0.5,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IF(SUMPRODUCT($J$65:AU$65,$J46:AU46)&lt;0.5,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IF(SUMPRODUCT($J$65:AX$65,$J46:AX46)&lt;0.5,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IF(SUMPRODUCT($J$65:BA$65,$J46:BA46)&lt;0.5,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IF(SUMPRODUCT($J$65:BD$65,$J46:BD46)&lt;0.5,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IF(SUMPRODUCT($J$65:BG$65,$J46:BG46)&lt;0.5,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IF(SUMPRODUCT($J$65:BJ$65,$J46:BJ46)&lt;0.5,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IF(SUMPRODUCT($J$65:BM$65,$J46:BM46)&lt;0.5,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IF(SUMPRODUCT($J$65:BP$65,$J46:BP46)&lt;0.5,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IF(SUMPRODUCT($J$65:BS$65,$J46:BS46)&lt;0.5,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IF(SUMPRODUCT($J$65:BV$65,$J46:BV46)&lt;0.5,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IF(SUMPRODUCT($J$65:BY$65,$J46:BY46)&lt;0.5,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IF(SUMPRODUCT($J$65:CB$65,$J46:CB46)&lt;0.5, "Pending", IF(CB46&lt;0.5, "Complete", "In Progress"))</f>
        <v>#REF!</v>
      </c>
      <c r="CD46" s="24"/>
      <c r="CE46" s="25">
        <f>SUMPRODUCT($H$65:AY$65,$H46:AY46)</f>
        <v>0</v>
      </c>
    </row>
    <row r="47" spans="1:83">
      <c r="A47" s="16"/>
      <c r="B47" s="16"/>
      <c r="C47" s="16"/>
      <c r="D47" s="17"/>
      <c r="E47" s="178"/>
      <c r="F47" s="18" t="s">
        <v>128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IF(SUMPRODUCT($J$65:K$65,$J47:K47)&lt;0.5,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IF(SUMPRODUCT($J$65:N$65,$J47:N47)&lt;0.5,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IF(SUMPRODUCT($J$65:Q$65,$J47:Q47)&lt;0.5,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IF(SUMPRODUCT($J$65:T$65,$J47:T47)&lt;0.5,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IF(SUMPRODUCT($J$65:W$65,$J47:W47)&lt;0.5,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IF(SUMPRODUCT($J$65:Z$65,$J47:Z47)&lt;0.5,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IF(SUMPRODUCT($J$65:AC$65,$J47:AC47)&lt;0.5,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IF(SUMPRODUCT($J$65:AF$65,$J47:AF47)&lt;0.5,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IF(SUMPRODUCT($J$65:AI$65,$J47:AI47)&lt;0.5,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IF(SUMPRODUCT($J$65:AL$65,$J47:AL47)&lt;0.5,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IF(SUMPRODUCT($J$65:AO$65,$J47:AO47)&lt;0.5,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IF(SUMPRODUCT($J$65:AR$65,$J47:AR47)&lt;0.5,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IF(SUMPRODUCT($J$65:AU$65,$J47:AU47)&lt;0.5,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IF(SUMPRODUCT($J$65:AX$65,$J47:AX47)&lt;0.5,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IF(SUMPRODUCT($J$65:BA$65,$J47:BA47)&lt;0.5,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IF(SUMPRODUCT($J$65:BD$65,$J47:BD47)&lt;0.5,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IF(SUMPRODUCT($J$65:BG$65,$J47:BG47)&lt;0.5,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IF(SUMPRODUCT($J$65:BJ$65,$J47:BJ47)&lt;0.5,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IF(SUMPRODUCT($J$65:BM$65,$J47:BM47)&lt;0.5,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IF(SUMPRODUCT($J$65:BP$65,$J47:BP47)&lt;0.5,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IF(SUMPRODUCT($J$65:BS$65,$J47:BS47)&lt;0.5,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IF(SUMPRODUCT($J$65:BV$65,$J47:BV47)&lt;0.5,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IF(SUMPRODUCT($J$65:BY$65,$J47:BY47)&lt;0.5,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IF(SUMPRODUCT($J$65:CB$65,$J47:CB47)&lt;0.5, "Pending", IF(CB47&lt;0.5, "Complete", "In Progress"))</f>
        <v>#REF!</v>
      </c>
      <c r="CD47" s="24"/>
      <c r="CE47" s="25">
        <f>SUMPRODUCT($H$65:AY$65,$H47:AY47)</f>
        <v>0</v>
      </c>
    </row>
    <row r="48" spans="1:83">
      <c r="A48" s="16"/>
      <c r="B48" s="16"/>
      <c r="C48" s="16"/>
      <c r="D48" s="17"/>
      <c r="E48" s="178"/>
      <c r="F48" s="18" t="s">
        <v>128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IF(SUMPRODUCT($J$65:K$65,$J48:K48)&lt;0.5,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IF(SUMPRODUCT($J$65:N$65,$J48:N48)&lt;0.5,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IF(SUMPRODUCT($J$65:Q$65,$J48:Q48)&lt;0.5,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IF(SUMPRODUCT($J$65:T$65,$J48:T48)&lt;0.5,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IF(SUMPRODUCT($J$65:W$65,$J48:W48)&lt;0.5,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IF(SUMPRODUCT($J$65:Z$65,$J48:Z48)&lt;0.5,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IF(SUMPRODUCT($J$65:AC$65,$J48:AC48)&lt;0.5,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IF(SUMPRODUCT($J$65:AF$65,$J48:AF48)&lt;0.5,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IF(SUMPRODUCT($J$65:AI$65,$J48:AI48)&lt;0.5,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IF(SUMPRODUCT($J$65:AL$65,$J48:AL48)&lt;0.5,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IF(SUMPRODUCT($J$65:AO$65,$J48:AO48)&lt;0.5,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IF(SUMPRODUCT($J$65:AR$65,$J48:AR48)&lt;0.5,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IF(SUMPRODUCT($J$65:AU$65,$J48:AU48)&lt;0.5,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IF(SUMPRODUCT($J$65:AX$65,$J48:AX48)&lt;0.5,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IF(SUMPRODUCT($J$65:BA$65,$J48:BA48)&lt;0.5,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IF(SUMPRODUCT($J$65:BD$65,$J48:BD48)&lt;0.5,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IF(SUMPRODUCT($J$65:BG$65,$J48:BG48)&lt;0.5,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IF(SUMPRODUCT($J$65:BJ$65,$J48:BJ48)&lt;0.5,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IF(SUMPRODUCT($J$65:BM$65,$J48:BM48)&lt;0.5,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IF(SUMPRODUCT($J$65:BP$65,$J48:BP48)&lt;0.5,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IF(SUMPRODUCT($J$65:BS$65,$J48:BS48)&lt;0.5,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IF(SUMPRODUCT($J$65:BV$65,$J48:BV48)&lt;0.5,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IF(SUMPRODUCT($J$65:BY$65,$J48:BY48)&lt;0.5,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IF(SUMPRODUCT($J$65:CB$65,$J48:CB48)&lt;0.5, "Pending", IF(CB48&lt;0.5, "Complete", "In Progress"))</f>
        <v>#REF!</v>
      </c>
      <c r="CD48" s="24"/>
      <c r="CE48" s="25">
        <f>SUMPRODUCT($H$65:AY$65,$H48:AY48)</f>
        <v>0</v>
      </c>
    </row>
    <row r="49" spans="1:83">
      <c r="A49" s="16"/>
      <c r="B49" s="16"/>
      <c r="C49" s="16"/>
      <c r="D49" s="17"/>
      <c r="E49" s="178"/>
      <c r="F49" s="18" t="s">
        <v>128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IF(SUMPRODUCT($J$65:K$65,$J49:K49)&lt;0.5,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IF(SUMPRODUCT($J$65:N$65,$J49:N49)&lt;0.5,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IF(SUMPRODUCT($J$65:Q$65,$J49:Q49)&lt;0.5,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IF(SUMPRODUCT($J$65:T$65,$J49:T49)&lt;0.5,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IF(SUMPRODUCT($J$65:W$65,$J49:W49)&lt;0.5,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IF(SUMPRODUCT($J$65:Z$65,$J49:Z49)&lt;0.5,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IF(SUMPRODUCT($J$65:AC$65,$J49:AC49)&lt;0.5,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IF(SUMPRODUCT($J$65:AF$65,$J49:AF49)&lt;0.5,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IF(SUMPRODUCT($J$65:AI$65,$J49:AI49)&lt;0.5,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IF(SUMPRODUCT($J$65:AL$65,$J49:AL49)&lt;0.5,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IF(SUMPRODUCT($J$65:AO$65,$J49:AO49)&lt;0.5,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IF(SUMPRODUCT($J$65:AR$65,$J49:AR49)&lt;0.5,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IF(SUMPRODUCT($J$65:AU$65,$J49:AU49)&lt;0.5,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IF(SUMPRODUCT($J$65:AX$65,$J49:AX49)&lt;0.5,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IF(SUMPRODUCT($J$65:BA$65,$J49:BA49)&lt;0.5,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IF(SUMPRODUCT($J$65:BD$65,$J49:BD49)&lt;0.5,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IF(SUMPRODUCT($J$65:BG$65,$J49:BG49)&lt;0.5,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IF(SUMPRODUCT($J$65:BJ$65,$J49:BJ49)&lt;0.5,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IF(SUMPRODUCT($J$65:BM$65,$J49:BM49)&lt;0.5,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IF(SUMPRODUCT($J$65:BP$65,$J49:BP49)&lt;0.5,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IF(SUMPRODUCT($J$65:BS$65,$J49:BS49)&lt;0.5,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IF(SUMPRODUCT($J$65:BV$65,$J49:BV49)&lt;0.5,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IF(SUMPRODUCT($J$65:BY$65,$J49:BY49)&lt;0.5,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IF(SUMPRODUCT($J$65:CB$65,$J49:CB49)&lt;0.5, "Pending", IF(CB49&lt;0.5, "Complete", "In Progress"))</f>
        <v>#REF!</v>
      </c>
      <c r="CD49" s="24"/>
      <c r="CE49" s="25">
        <f>SUMPRODUCT($H$65:AY$65,$H49:AY49)</f>
        <v>0</v>
      </c>
    </row>
    <row r="50" spans="1:83">
      <c r="A50" s="16"/>
      <c r="B50" s="16"/>
      <c r="C50" s="16"/>
      <c r="D50" s="17"/>
      <c r="E50" s="178"/>
      <c r="F50" s="18" t="s">
        <v>128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IF(SUMPRODUCT($J$65:K$65,$J50:K50)&lt;0.5,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IF(SUMPRODUCT($J$65:N$65,$J50:N50)&lt;0.5,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IF(SUMPRODUCT($J$65:Q$65,$J50:Q50)&lt;0.5,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IF(SUMPRODUCT($J$65:T$65,$J50:T50)&lt;0.5,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IF(SUMPRODUCT($J$65:W$65,$J50:W50)&lt;0.5,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IF(SUMPRODUCT($J$65:Z$65,$J50:Z50)&lt;0.5,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IF(SUMPRODUCT($J$65:AC$65,$J50:AC50)&lt;0.5,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IF(SUMPRODUCT($J$65:AF$65,$J50:AF50)&lt;0.5,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IF(SUMPRODUCT($J$65:AI$65,$J50:AI50)&lt;0.5,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IF(SUMPRODUCT($J$65:AL$65,$J50:AL50)&lt;0.5,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IF(SUMPRODUCT($J$65:AO$65,$J50:AO50)&lt;0.5,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IF(SUMPRODUCT($J$65:AR$65,$J50:AR50)&lt;0.5,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IF(SUMPRODUCT($J$65:AU$65,$J50:AU50)&lt;0.5,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IF(SUMPRODUCT($J$65:AX$65,$J50:AX50)&lt;0.5,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IF(SUMPRODUCT($J$65:BA$65,$J50:BA50)&lt;0.5,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IF(SUMPRODUCT($J$65:BD$65,$J50:BD50)&lt;0.5,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IF(SUMPRODUCT($J$65:BG$65,$J50:BG50)&lt;0.5,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IF(SUMPRODUCT($J$65:BJ$65,$J50:BJ50)&lt;0.5,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IF(SUMPRODUCT($J$65:BM$65,$J50:BM50)&lt;0.5,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IF(SUMPRODUCT($J$65:BP$65,$J50:BP50)&lt;0.5,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IF(SUMPRODUCT($J$65:BS$65,$J50:BS50)&lt;0.5,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IF(SUMPRODUCT($J$65:BV$65,$J50:BV50)&lt;0.5,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IF(SUMPRODUCT($J$65:BY$65,$J50:BY50)&lt;0.5,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IF(SUMPRODUCT($J$65:CB$65,$J50:CB50)&lt;0.5, "Pending", IF(CB50&lt;0.5, "Complete", "In Progress"))</f>
        <v>#REF!</v>
      </c>
      <c r="CD50" s="24"/>
      <c r="CE50" s="25">
        <f>SUMPRODUCT($H$65:AY$65,$H50:AY50)</f>
        <v>0</v>
      </c>
    </row>
    <row r="51" spans="1:83">
      <c r="A51" s="16"/>
      <c r="B51" s="16"/>
      <c r="C51" s="16"/>
      <c r="D51" s="17"/>
      <c r="E51" s="178"/>
      <c r="F51" s="18" t="s">
        <v>128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IF(SUMPRODUCT($J$65:K$65,$J51:K51)&lt;0.5,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IF(SUMPRODUCT($J$65:N$65,$J51:N51)&lt;0.5,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IF(SUMPRODUCT($J$65:Q$65,$J51:Q51)&lt;0.5,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IF(SUMPRODUCT($J$65:T$65,$J51:T51)&lt;0.5,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IF(SUMPRODUCT($J$65:W$65,$J51:W51)&lt;0.5,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IF(SUMPRODUCT($J$65:Z$65,$J51:Z51)&lt;0.5,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IF(SUMPRODUCT($J$65:AC$65,$J51:AC51)&lt;0.5,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IF(SUMPRODUCT($J$65:AF$65,$J51:AF51)&lt;0.5,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IF(SUMPRODUCT($J$65:AI$65,$J51:AI51)&lt;0.5,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IF(SUMPRODUCT($J$65:AL$65,$J51:AL51)&lt;0.5,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IF(SUMPRODUCT($J$65:AO$65,$J51:AO51)&lt;0.5,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IF(SUMPRODUCT($J$65:AR$65,$J51:AR51)&lt;0.5,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IF(SUMPRODUCT($J$65:AU$65,$J51:AU51)&lt;0.5,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IF(SUMPRODUCT($J$65:AX$65,$J51:AX51)&lt;0.5,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IF(SUMPRODUCT($J$65:BA$65,$J51:BA51)&lt;0.5,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IF(SUMPRODUCT($J$65:BD$65,$J51:BD51)&lt;0.5,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IF(SUMPRODUCT($J$65:BG$65,$J51:BG51)&lt;0.5,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IF(SUMPRODUCT($J$65:BJ$65,$J51:BJ51)&lt;0.5,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IF(SUMPRODUCT($J$65:BM$65,$J51:BM51)&lt;0.5,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IF(SUMPRODUCT($J$65:BP$65,$J51:BP51)&lt;0.5,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IF(SUMPRODUCT($J$65:BS$65,$J51:BS51)&lt;0.5,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IF(SUMPRODUCT($J$65:BV$65,$J51:BV51)&lt;0.5,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IF(SUMPRODUCT($J$65:BY$65,$J51:BY51)&lt;0.5,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IF(SUMPRODUCT($J$65:CB$65,$J51:CB51)&lt;0.5, "Pending", IF(CB51&lt;0.5, "Complete", "In Progress"))</f>
        <v>#REF!</v>
      </c>
      <c r="CD51" s="24"/>
      <c r="CE51" s="25">
        <f>SUMPRODUCT($H$65:AY$65,$H51:AY51)</f>
        <v>0</v>
      </c>
    </row>
    <row r="52" spans="1:83">
      <c r="A52" s="16"/>
      <c r="B52" s="16"/>
      <c r="C52" s="16"/>
      <c r="D52" s="17"/>
      <c r="E52" s="178"/>
      <c r="F52" s="18" t="s">
        <v>128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IF(SUMPRODUCT($J$65:K$65,$J52:K52)&lt;0.5,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IF(SUMPRODUCT($J$65:N$65,$J52:N52)&lt;0.5,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IF(SUMPRODUCT($J$65:Q$65,$J52:Q52)&lt;0.5,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IF(SUMPRODUCT($J$65:T$65,$J52:T52)&lt;0.5,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IF(SUMPRODUCT($J$65:W$65,$J52:W52)&lt;0.5,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IF(SUMPRODUCT($J$65:Z$65,$J52:Z52)&lt;0.5,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IF(SUMPRODUCT($J$65:AC$65,$J52:AC52)&lt;0.5,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IF(SUMPRODUCT($J$65:AF$65,$J52:AF52)&lt;0.5,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IF(SUMPRODUCT($J$65:AI$65,$J52:AI52)&lt;0.5,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IF(SUMPRODUCT($J$65:AL$65,$J52:AL52)&lt;0.5,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IF(SUMPRODUCT($J$65:AO$65,$J52:AO52)&lt;0.5,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IF(SUMPRODUCT($J$65:AR$65,$J52:AR52)&lt;0.5,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IF(SUMPRODUCT($J$65:AU$65,$J52:AU52)&lt;0.5,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IF(SUMPRODUCT($J$65:AX$65,$J52:AX52)&lt;0.5,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IF(SUMPRODUCT($J$65:BA$65,$J52:BA52)&lt;0.5,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IF(SUMPRODUCT($J$65:BD$65,$J52:BD52)&lt;0.5,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IF(SUMPRODUCT($J$65:BG$65,$J52:BG52)&lt;0.5,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IF(SUMPRODUCT($J$65:BJ$65,$J52:BJ52)&lt;0.5,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IF(SUMPRODUCT($J$65:BM$65,$J52:BM52)&lt;0.5,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IF(SUMPRODUCT($J$65:BP$65,$J52:BP52)&lt;0.5,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IF(SUMPRODUCT($J$65:BS$65,$J52:BS52)&lt;0.5,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IF(SUMPRODUCT($J$65:BV$65,$J52:BV52)&lt;0.5,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IF(SUMPRODUCT($J$65:BY$65,$J52:BY52)&lt;0.5,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IF(SUMPRODUCT($J$65:CB$65,$J52:CB52)&lt;0.5, "Pending", IF(CB52&lt;0.5, "Complete", "In Progress"))</f>
        <v>#REF!</v>
      </c>
      <c r="CD52" s="24"/>
      <c r="CE52" s="25">
        <f>SUMPRODUCT($H$65:AY$65,$H52:AY52)</f>
        <v>0</v>
      </c>
    </row>
    <row r="53" spans="1:83">
      <c r="A53" s="16"/>
      <c r="B53" s="16"/>
      <c r="C53" s="16"/>
      <c r="D53" s="17"/>
      <c r="E53" s="178"/>
      <c r="F53" s="18" t="s">
        <v>128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IF(SUMPRODUCT($J$65:K$65,$J53:K53)&lt;0.5,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IF(SUMPRODUCT($J$65:N$65,$J53:N53)&lt;0.5,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IF(SUMPRODUCT($J$65:Q$65,$J53:Q53)&lt;0.5,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IF(SUMPRODUCT($J$65:T$65,$J53:T53)&lt;0.5,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IF(SUMPRODUCT($J$65:W$65,$J53:W53)&lt;0.5,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IF(SUMPRODUCT($J$65:Z$65,$J53:Z53)&lt;0.5,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IF(SUMPRODUCT($J$65:AC$65,$J53:AC53)&lt;0.5,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IF(SUMPRODUCT($J$65:AF$65,$J53:AF53)&lt;0.5,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IF(SUMPRODUCT($J$65:AI$65,$J53:AI53)&lt;0.5,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IF(SUMPRODUCT($J$65:AL$65,$J53:AL53)&lt;0.5,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IF(SUMPRODUCT($J$65:AO$65,$J53:AO53)&lt;0.5,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IF(SUMPRODUCT($J$65:AR$65,$J53:AR53)&lt;0.5,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IF(SUMPRODUCT($J$65:AU$65,$J53:AU53)&lt;0.5,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IF(SUMPRODUCT($J$65:AX$65,$J53:AX53)&lt;0.5,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IF(SUMPRODUCT($J$65:BA$65,$J53:BA53)&lt;0.5,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IF(SUMPRODUCT($J$65:BD$65,$J53:BD53)&lt;0.5,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IF(SUMPRODUCT($J$65:BG$65,$J53:BG53)&lt;0.5,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IF(SUMPRODUCT($J$65:BJ$65,$J53:BJ53)&lt;0.5,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IF(SUMPRODUCT($J$65:BM$65,$J53:BM53)&lt;0.5,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IF(SUMPRODUCT($J$65:BP$65,$J53:BP53)&lt;0.5,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IF(SUMPRODUCT($J$65:BS$65,$J53:BS53)&lt;0.5,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IF(SUMPRODUCT($J$65:BV$65,$J53:BV53)&lt;0.5,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IF(SUMPRODUCT($J$65:BY$65,$J53:BY53)&lt;0.5,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IF(SUMPRODUCT($J$65:CB$65,$J53:CB53)&lt;0.5, "Pending", IF(CB53&lt;0.5, "Complete", "In Progress"))</f>
        <v>#REF!</v>
      </c>
      <c r="CD53" s="24"/>
      <c r="CE53" s="25">
        <f>SUMPRODUCT($H$65:AY$65,$H53:AY53)</f>
        <v>0</v>
      </c>
    </row>
    <row r="54" spans="1:83">
      <c r="A54" s="16"/>
      <c r="B54" s="16"/>
      <c r="C54" s="16"/>
      <c r="D54" s="17"/>
      <c r="E54" s="178"/>
      <c r="F54" s="18" t="s">
        <v>128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IF(SUMPRODUCT($J$65:K$65,$J54:K54)&lt;0.5,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IF(SUMPRODUCT($J$65:N$65,$J54:N54)&lt;0.5,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IF(SUMPRODUCT($J$65:Q$65,$J54:Q54)&lt;0.5,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IF(SUMPRODUCT($J$65:T$65,$J54:T54)&lt;0.5,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IF(SUMPRODUCT($J$65:W$65,$J54:W54)&lt;0.5,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IF(SUMPRODUCT($J$65:Z$65,$J54:Z54)&lt;0.5,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IF(SUMPRODUCT($J$65:AC$65,$J54:AC54)&lt;0.5,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IF(SUMPRODUCT($J$65:AF$65,$J54:AF54)&lt;0.5,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IF(SUMPRODUCT($J$65:AI$65,$J54:AI54)&lt;0.5,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IF(SUMPRODUCT($J$65:AL$65,$J54:AL54)&lt;0.5,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IF(SUMPRODUCT($J$65:AO$65,$J54:AO54)&lt;0.5,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IF(SUMPRODUCT($J$65:AR$65,$J54:AR54)&lt;0.5,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IF(SUMPRODUCT($J$65:AU$65,$J54:AU54)&lt;0.5,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IF(SUMPRODUCT($J$65:AX$65,$J54:AX54)&lt;0.5,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IF(SUMPRODUCT($J$65:BA$65,$J54:BA54)&lt;0.5,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IF(SUMPRODUCT($J$65:BD$65,$J54:BD54)&lt;0.5,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IF(SUMPRODUCT($J$65:BG$65,$J54:BG54)&lt;0.5,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IF(SUMPRODUCT($J$65:BJ$65,$J54:BJ54)&lt;0.5,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IF(SUMPRODUCT($J$65:BM$65,$J54:BM54)&lt;0.5,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IF(SUMPRODUCT($J$65:BP$65,$J54:BP54)&lt;0.5,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IF(SUMPRODUCT($J$65:BS$65,$J54:BS54)&lt;0.5,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IF(SUMPRODUCT($J$65:BV$65,$J54:BV54)&lt;0.5,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IF(SUMPRODUCT($J$65:BY$65,$J54:BY54)&lt;0.5,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IF(SUMPRODUCT($J$65:CB$65,$J54:CB54)&lt;0.5, "Pending", IF(CB54&lt;0.5, "Complete", "In Progress"))</f>
        <v>#REF!</v>
      </c>
      <c r="CD54" s="24"/>
      <c r="CE54" s="25">
        <f>SUMPRODUCT($H$65:AY$65,$H54:AY54)</f>
        <v>0</v>
      </c>
    </row>
    <row r="55" spans="1:83">
      <c r="A55" s="16"/>
      <c r="B55" s="16"/>
      <c r="C55" s="16"/>
      <c r="D55" s="17"/>
      <c r="E55" s="178"/>
      <c r="F55" s="18" t="s">
        <v>128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IF(SUMPRODUCT($J$65:K$65,$J55:K55)&lt;0.5,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IF(SUMPRODUCT($J$65:N$65,$J55:N55)&lt;0.5,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IF(SUMPRODUCT($J$65:Q$65,$J55:Q55)&lt;0.5,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IF(SUMPRODUCT($J$65:T$65,$J55:T55)&lt;0.5,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IF(SUMPRODUCT($J$65:W$65,$J55:W55)&lt;0.5,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IF(SUMPRODUCT($J$65:Z$65,$J55:Z55)&lt;0.5,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IF(SUMPRODUCT($J$65:AC$65,$J55:AC55)&lt;0.5,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IF(SUMPRODUCT($J$65:AF$65,$J55:AF55)&lt;0.5,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IF(SUMPRODUCT($J$65:AI$65,$J55:AI55)&lt;0.5,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IF(SUMPRODUCT($J$65:AL$65,$J55:AL55)&lt;0.5,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IF(SUMPRODUCT($J$65:AO$65,$J55:AO55)&lt;0.5,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IF(SUMPRODUCT($J$65:AR$65,$J55:AR55)&lt;0.5,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IF(SUMPRODUCT($J$65:AU$65,$J55:AU55)&lt;0.5,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IF(SUMPRODUCT($J$65:AX$65,$J55:AX55)&lt;0.5,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IF(SUMPRODUCT($J$65:BA$65,$J55:BA55)&lt;0.5,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IF(SUMPRODUCT($J$65:BD$65,$J55:BD55)&lt;0.5,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IF(SUMPRODUCT($J$65:BG$65,$J55:BG55)&lt;0.5,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IF(SUMPRODUCT($J$65:BJ$65,$J55:BJ55)&lt;0.5,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IF(SUMPRODUCT($J$65:BM$65,$J55:BM55)&lt;0.5,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IF(SUMPRODUCT($J$65:BP$65,$J55:BP55)&lt;0.5,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IF(SUMPRODUCT($J$65:BS$65,$J55:BS55)&lt;0.5,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IF(SUMPRODUCT($J$65:BV$65,$J55:BV55)&lt;0.5,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IF(SUMPRODUCT($J$65:BY$65,$J55:BY55)&lt;0.5,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IF(SUMPRODUCT($J$65:CB$65,$J55:CB55)&lt;0.5, "Pending", IF(CB55&lt;0.5, "Complete", "In Progress"))</f>
        <v>#REF!</v>
      </c>
      <c r="CD55" s="24"/>
      <c r="CE55" s="25">
        <f>SUMPRODUCT($H$65:AY$65,$H55:AY55)</f>
        <v>0</v>
      </c>
    </row>
    <row r="56" spans="1:83">
      <c r="A56" s="16"/>
      <c r="B56" s="16"/>
      <c r="C56" s="16"/>
      <c r="D56" s="17"/>
      <c r="E56" s="178"/>
      <c r="F56" s="18" t="s">
        <v>128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IF(SUMPRODUCT($J$65:K$65,$J56:K56)&lt;0.5,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IF(SUMPRODUCT($J$65:N$65,$J56:N56)&lt;0.5,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IF(SUMPRODUCT($J$65:Q$65,$J56:Q56)&lt;0.5,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IF(SUMPRODUCT($J$65:T$65,$J56:T56)&lt;0.5,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IF(SUMPRODUCT($J$65:W$65,$J56:W56)&lt;0.5,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IF(SUMPRODUCT($J$65:Z$65,$J56:Z56)&lt;0.5,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IF(SUMPRODUCT($J$65:AC$65,$J56:AC56)&lt;0.5,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IF(SUMPRODUCT($J$65:AF$65,$J56:AF56)&lt;0.5,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IF(SUMPRODUCT($J$65:AI$65,$J56:AI56)&lt;0.5,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IF(SUMPRODUCT($J$65:AL$65,$J56:AL56)&lt;0.5,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IF(SUMPRODUCT($J$65:AO$65,$J56:AO56)&lt;0.5,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IF(SUMPRODUCT($J$65:AR$65,$J56:AR56)&lt;0.5,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IF(SUMPRODUCT($J$65:AU$65,$J56:AU56)&lt;0.5,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IF(SUMPRODUCT($J$65:AX$65,$J56:AX56)&lt;0.5,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IF(SUMPRODUCT($J$65:BA$65,$J56:BA56)&lt;0.5,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IF(SUMPRODUCT($J$65:BD$65,$J56:BD56)&lt;0.5,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IF(SUMPRODUCT($J$65:BG$65,$J56:BG56)&lt;0.5,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IF(SUMPRODUCT($J$65:BJ$65,$J56:BJ56)&lt;0.5,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IF(SUMPRODUCT($J$65:BM$65,$J56:BM56)&lt;0.5,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IF(SUMPRODUCT($J$65:BP$65,$J56:BP56)&lt;0.5,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IF(SUMPRODUCT($J$65:BS$65,$J56:BS56)&lt;0.5,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IF(SUMPRODUCT($J$65:BV$65,$J56:BV56)&lt;0.5,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IF(SUMPRODUCT($J$65:BY$65,$J56:BY56)&lt;0.5,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IF(SUMPRODUCT($J$65:CB$65,$J56:CB56)&lt;0.5, "Pending", IF(CB56&lt;0.5, "Complete", "In Progress"))</f>
        <v>#REF!</v>
      </c>
      <c r="CD56" s="24"/>
      <c r="CE56" s="25">
        <f>SUMPRODUCT($H$65:AY$65,$H56:AY56)</f>
        <v>0</v>
      </c>
    </row>
    <row r="57" spans="1:83">
      <c r="A57" s="16"/>
      <c r="B57" s="16"/>
      <c r="C57" s="16"/>
      <c r="D57" s="17"/>
      <c r="E57" s="178"/>
      <c r="F57" s="18" t="s">
        <v>128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IF(SUMPRODUCT($J$65:K$65,$J57:K57)&lt;0.5,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IF(SUMPRODUCT($J$65:N$65,$J57:N57)&lt;0.5,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IF(SUMPRODUCT($J$65:Q$65,$J57:Q57)&lt;0.5,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IF(SUMPRODUCT($J$65:T$65,$J57:T57)&lt;0.5,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IF(SUMPRODUCT($J$65:W$65,$J57:W57)&lt;0.5,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IF(SUMPRODUCT($J$65:Z$65,$J57:Z57)&lt;0.5,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IF(SUMPRODUCT($J$65:AC$65,$J57:AC57)&lt;0.5,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IF(SUMPRODUCT($J$65:AF$65,$J57:AF57)&lt;0.5,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IF(SUMPRODUCT($J$65:AI$65,$J57:AI57)&lt;0.5,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IF(SUMPRODUCT($J$65:AL$65,$J57:AL57)&lt;0.5,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IF(SUMPRODUCT($J$65:AO$65,$J57:AO57)&lt;0.5,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IF(SUMPRODUCT($J$65:AR$65,$J57:AR57)&lt;0.5,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IF(SUMPRODUCT($J$65:AU$65,$J57:AU57)&lt;0.5,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IF(SUMPRODUCT($J$65:AX$65,$J57:AX57)&lt;0.5,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IF(SUMPRODUCT($J$65:BA$65,$J57:BA57)&lt;0.5,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IF(SUMPRODUCT($J$65:BD$65,$J57:BD57)&lt;0.5,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IF(SUMPRODUCT($J$65:BG$65,$J57:BG57)&lt;0.5,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IF(SUMPRODUCT($J$65:BJ$65,$J57:BJ57)&lt;0.5,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IF(SUMPRODUCT($J$65:BM$65,$J57:BM57)&lt;0.5,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IF(SUMPRODUCT($J$65:BP$65,$J57:BP57)&lt;0.5,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IF(SUMPRODUCT($J$65:BS$65,$J57:BS57)&lt;0.5,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IF(SUMPRODUCT($J$65:BV$65,$J57:BV57)&lt;0.5,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IF(SUMPRODUCT($J$65:BY$65,$J57:BY57)&lt;0.5,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IF(SUMPRODUCT($J$65:CB$65,$J57:CB57)&lt;0.5, "Pending", IF(CB57&lt;0.5, "Complete", "In Progress"))</f>
        <v>#REF!</v>
      </c>
      <c r="CD57" s="24"/>
      <c r="CE57" s="25">
        <f>SUMPRODUCT($H$65:AY$65,$H57:AY57)</f>
        <v>0</v>
      </c>
    </row>
    <row r="58" spans="1:83">
      <c r="A58" s="16"/>
      <c r="B58" s="16"/>
      <c r="C58" s="16"/>
      <c r="D58" s="17"/>
      <c r="E58" s="178"/>
      <c r="F58" s="18" t="s">
        <v>128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IF(SUMPRODUCT($J$65:K$65,$J58:K58)&lt;0.5,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IF(SUMPRODUCT($J$65:N$65,$J58:N58)&lt;0.5,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IF(SUMPRODUCT($J$65:Q$65,$J58:Q58)&lt;0.5,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IF(SUMPRODUCT($J$65:T$65,$J58:T58)&lt;0.5,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IF(SUMPRODUCT($J$65:W$65,$J58:W58)&lt;0.5,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IF(SUMPRODUCT($J$65:Z$65,$J58:Z58)&lt;0.5,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IF(SUMPRODUCT($J$65:AC$65,$J58:AC58)&lt;0.5,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IF(SUMPRODUCT($J$65:AF$65,$J58:AF58)&lt;0.5,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IF(SUMPRODUCT($J$65:AI$65,$J58:AI58)&lt;0.5,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IF(SUMPRODUCT($J$65:AL$65,$J58:AL58)&lt;0.5,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IF(SUMPRODUCT($J$65:AO$65,$J58:AO58)&lt;0.5,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IF(SUMPRODUCT($J$65:AR$65,$J58:AR58)&lt;0.5,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IF(SUMPRODUCT($J$65:AU$65,$J58:AU58)&lt;0.5,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IF(SUMPRODUCT($J$65:AX$65,$J58:AX58)&lt;0.5,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IF(SUMPRODUCT($J$65:BA$65,$J58:BA58)&lt;0.5,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IF(SUMPRODUCT($J$65:BD$65,$J58:BD58)&lt;0.5,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IF(SUMPRODUCT($J$65:BG$65,$J58:BG58)&lt;0.5,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IF(SUMPRODUCT($J$65:BJ$65,$J58:BJ58)&lt;0.5,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IF(SUMPRODUCT($J$65:BM$65,$J58:BM58)&lt;0.5,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IF(SUMPRODUCT($J$65:BP$65,$J58:BP58)&lt;0.5,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IF(SUMPRODUCT($J$65:BS$65,$J58:BS58)&lt;0.5,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IF(SUMPRODUCT($J$65:BV$65,$J58:BV58)&lt;0.5,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IF(SUMPRODUCT($J$65:BY$65,$J58:BY58)&lt;0.5,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IF(SUMPRODUCT($J$65:CB$65,$J58:CB58)&lt;0.5, "Pending", IF(CB58&lt;0.5, "Complete", "In Progress"))</f>
        <v>#REF!</v>
      </c>
      <c r="CD58" s="24"/>
      <c r="CE58" s="25">
        <f>SUMPRODUCT($H$65:AY$65,$H58:AY58)</f>
        <v>0</v>
      </c>
    </row>
    <row r="59" spans="1:83">
      <c r="A59" s="16"/>
      <c r="B59" s="16"/>
      <c r="C59" s="16"/>
      <c r="D59" s="17"/>
      <c r="E59" s="178"/>
      <c r="F59" s="18" t="s">
        <v>128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IF(SUMPRODUCT($J$65:K$65,$J59:K59)&lt;0.5,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IF(SUMPRODUCT($J$65:N$65,$J59:N59)&lt;0.5,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IF(SUMPRODUCT($J$65:Q$65,$J59:Q59)&lt;0.5,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IF(SUMPRODUCT($J$65:T$65,$J59:T59)&lt;0.5,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IF(SUMPRODUCT($J$65:W$65,$J59:W59)&lt;0.5,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IF(SUMPRODUCT($J$65:Z$65,$J59:Z59)&lt;0.5,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IF(SUMPRODUCT($J$65:AC$65,$J59:AC59)&lt;0.5,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IF(SUMPRODUCT($J$65:AF$65,$J59:AF59)&lt;0.5,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IF(SUMPRODUCT($J$65:AI$65,$J59:AI59)&lt;0.5,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IF(SUMPRODUCT($J$65:AL$65,$J59:AL59)&lt;0.5,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IF(SUMPRODUCT($J$65:AO$65,$J59:AO59)&lt;0.5,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IF(SUMPRODUCT($J$65:AR$65,$J59:AR59)&lt;0.5,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IF(SUMPRODUCT($J$65:AU$65,$J59:AU59)&lt;0.5,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IF(SUMPRODUCT($J$65:AX$65,$J59:AX59)&lt;0.5,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IF(SUMPRODUCT($J$65:BA$65,$J59:BA59)&lt;0.5,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IF(SUMPRODUCT($J$65:BD$65,$J59:BD59)&lt;0.5,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IF(SUMPRODUCT($J$65:BG$65,$J59:BG59)&lt;0.5,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IF(SUMPRODUCT($J$65:BJ$65,$J59:BJ59)&lt;0.5,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IF(SUMPRODUCT($J$65:BM$65,$J59:BM59)&lt;0.5,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IF(SUMPRODUCT($J$65:BP$65,$J59:BP59)&lt;0.5,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IF(SUMPRODUCT($J$65:BS$65,$J59:BS59)&lt;0.5,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IF(SUMPRODUCT($J$65:BV$65,$J59:BV59)&lt;0.5,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IF(SUMPRODUCT($J$65:BY$65,$J59:BY59)&lt;0.5,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IF(SUMPRODUCT($J$65:CB$65,$J59:CB59)&lt;0.5, "Pending", IF(CB59&lt;0.5, "Complete", "In Progress"))</f>
        <v>#REF!</v>
      </c>
      <c r="CD59" s="24"/>
      <c r="CE59" s="25">
        <f>SUMPRODUCT($H$65:AY$65,$H59:AY59)</f>
        <v>0</v>
      </c>
    </row>
    <row r="60" spans="1:83">
      <c r="A60" s="16"/>
      <c r="B60" s="16"/>
      <c r="C60" s="16"/>
      <c r="D60" s="17"/>
      <c r="E60" s="178"/>
      <c r="F60" s="18" t="s">
        <v>128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IF(SUMPRODUCT($J$65:K$65,$J60:K60)&lt;0.5,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IF(SUMPRODUCT($J$65:N$65,$J60:N60)&lt;0.5,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IF(SUMPRODUCT($J$65:Q$65,$J60:Q60)&lt;0.5,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IF(SUMPRODUCT($J$65:T$65,$J60:T60)&lt;0.5,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IF(SUMPRODUCT($J$65:W$65,$J60:W60)&lt;0.5,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IF(SUMPRODUCT($J$65:Z$65,$J60:Z60)&lt;0.5,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IF(SUMPRODUCT($J$65:AC$65,$J60:AC60)&lt;0.5,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IF(SUMPRODUCT($J$65:AF$65,$J60:AF60)&lt;0.5,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IF(SUMPRODUCT($J$65:AI$65,$J60:AI60)&lt;0.5,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IF(SUMPRODUCT($J$65:AL$65,$J60:AL60)&lt;0.5,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IF(SUMPRODUCT($J$65:AO$65,$J60:AO60)&lt;0.5,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IF(SUMPRODUCT($J$65:AR$65,$J60:AR60)&lt;0.5,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IF(SUMPRODUCT($J$65:AU$65,$J60:AU60)&lt;0.5,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IF(SUMPRODUCT($J$65:AX$65,$J60:AX60)&lt;0.5,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IF(SUMPRODUCT($J$65:BA$65,$J60:BA60)&lt;0.5,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IF(SUMPRODUCT($J$65:BD$65,$J60:BD60)&lt;0.5,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IF(SUMPRODUCT($J$65:BG$65,$J60:BG60)&lt;0.5,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IF(SUMPRODUCT($J$65:BJ$65,$J60:BJ60)&lt;0.5,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IF(SUMPRODUCT($J$65:BM$65,$J60:BM60)&lt;0.5,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IF(SUMPRODUCT($J$65:BP$65,$J60:BP60)&lt;0.5,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IF(SUMPRODUCT($J$65:BS$65,$J60:BS60)&lt;0.5,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IF(SUMPRODUCT($J$65:BV$65,$J60:BV60)&lt;0.5,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IF(SUMPRODUCT($J$65:BY$65,$J60:BY60)&lt;0.5,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IF(SUMPRODUCT($J$65:CB$65,$J60:CB60)&lt;0.5, "Pending", IF(CB60&lt;0.5, "Complete", "In Progress"))</f>
        <v>#REF!</v>
      </c>
      <c r="CD60" s="24"/>
      <c r="CE60" s="25">
        <f>SUMPRODUCT($H$65:AY$65,$H60:AY60)</f>
        <v>0</v>
      </c>
    </row>
    <row r="61" spans="1:83">
      <c r="A61" s="16"/>
      <c r="B61" s="16"/>
      <c r="C61" s="16"/>
      <c r="D61" s="17"/>
      <c r="E61" s="178"/>
      <c r="F61" s="18" t="s">
        <v>128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IF(SUMPRODUCT($J$65:K$65,$J61:K61)&lt;0.5,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IF(SUMPRODUCT($J$65:N$65,$J61:N61)&lt;0.5,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IF(SUMPRODUCT($J$65:Q$65,$J61:Q61)&lt;0.5,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IF(SUMPRODUCT($J$65:T$65,$J61:T61)&lt;0.5,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IF(SUMPRODUCT($J$65:W$65,$J61:W61)&lt;0.5,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IF(SUMPRODUCT($J$65:Z$65,$J61:Z61)&lt;0.5,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IF(SUMPRODUCT($J$65:AC$65,$J61:AC61)&lt;0.5,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IF(SUMPRODUCT($J$65:AF$65,$J61:AF61)&lt;0.5,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IF(SUMPRODUCT($J$65:AI$65,$J61:AI61)&lt;0.5,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IF(SUMPRODUCT($J$65:AL$65,$J61:AL61)&lt;0.5,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IF(SUMPRODUCT($J$65:AO$65,$J61:AO61)&lt;0.5,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IF(SUMPRODUCT($J$65:AR$65,$J61:AR61)&lt;0.5,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IF(SUMPRODUCT($J$65:AU$65,$J61:AU61)&lt;0.5,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IF(SUMPRODUCT($J$65:AX$65,$J61:AX61)&lt;0.5,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IF(SUMPRODUCT($J$65:BA$65,$J61:BA61)&lt;0.5,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IF(SUMPRODUCT($J$65:BD$65,$J61:BD61)&lt;0.5,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IF(SUMPRODUCT($J$65:BG$65,$J61:BG61)&lt;0.5,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IF(SUMPRODUCT($J$65:BJ$65,$J61:BJ61)&lt;0.5,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IF(SUMPRODUCT($J$65:BM$65,$J61:BM61)&lt;0.5,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IF(SUMPRODUCT($J$65:BP$65,$J61:BP61)&lt;0.5,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IF(SUMPRODUCT($J$65:BS$65,$J61:BS61)&lt;0.5,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IF(SUMPRODUCT($J$65:BV$65,$J61:BV61)&lt;0.5,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IF(SUMPRODUCT($J$65:BY$65,$J61:BY61)&lt;0.5,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IF(SUMPRODUCT($J$65:CB$65,$J61:CB61)&lt;0.5, "Pending", IF(CB61&lt;0.5, "Complete", "In Progress"))</f>
        <v>#REF!</v>
      </c>
      <c r="CD61" s="24"/>
      <c r="CE61" s="25">
        <f>SUMPRODUCT($H$65:AY$65,$H61:AY61)</f>
        <v>0</v>
      </c>
    </row>
    <row r="62" spans="1:83">
      <c r="A62" s="16"/>
      <c r="B62" s="16"/>
      <c r="C62" s="16"/>
      <c r="D62" s="17"/>
      <c r="E62" s="177"/>
      <c r="F62" s="18" t="s">
        <v>48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ref="K62" si="70">MAX(I62-J62, 0)</f>
        <v>0</v>
      </c>
      <c r="L62" s="23" t="str">
        <f>IF(SUMPRODUCT($J$65:K$65,$J62:K62)&lt;0.5, "Pending", IF(K62&lt;0.5, "Complete", "In Progress"))</f>
        <v>Pending</v>
      </c>
      <c r="M62" s="22">
        <v>0</v>
      </c>
      <c r="N62" s="22">
        <f t="shared" ref="N62" si="71">MAX(K62-M62,0)</f>
        <v>0</v>
      </c>
      <c r="O62" s="23" t="str">
        <f>IF(SUMPRODUCT($J$65:N$65,$J62:N62)&lt;0.5, "Pending", IF(N62&lt;0.5, "Complete", "In Progress"))</f>
        <v>Pending</v>
      </c>
      <c r="P62" s="22">
        <v>0</v>
      </c>
      <c r="Q62" s="22">
        <f t="shared" ref="Q62" si="72">MAX(N62-P62,0)</f>
        <v>0</v>
      </c>
      <c r="R62" s="23" t="str">
        <f>IF(SUMPRODUCT($J$65:Q$65,$J62:Q62)&lt;0.5, "Pending", IF(Q62&lt;0.5, "Complete", "In Progress"))</f>
        <v>Pending</v>
      </c>
      <c r="S62" s="22">
        <v>0</v>
      </c>
      <c r="T62" s="22">
        <f t="shared" ref="T62" si="73">MAX(Q62-S62,0)</f>
        <v>0</v>
      </c>
      <c r="U62" s="23" t="str">
        <f>IF(SUMPRODUCT($J$65:T$65,$J62:T62)&lt;0.5, "Pending", IF(T62&lt;0.5, "Complete", "In Progress"))</f>
        <v>Pending</v>
      </c>
      <c r="V62" s="22">
        <v>0</v>
      </c>
      <c r="W62" s="22">
        <f t="shared" ref="W62" si="74">MAX(T62-V62,0)</f>
        <v>0</v>
      </c>
      <c r="X62" s="23" t="str">
        <f>IF(SUMPRODUCT($J$65:W$65,$J62:W62)&lt;0.5, "Pending", IF(W62&lt;0.5, "Complete", "In Progress"))</f>
        <v>Pending</v>
      </c>
      <c r="Y62" s="22">
        <v>0</v>
      </c>
      <c r="Z62" s="22">
        <f t="shared" ref="Z62" si="75">MAX(W62-Y62,0)</f>
        <v>0</v>
      </c>
      <c r="AA62" s="23" t="str">
        <f>IF(SUMPRODUCT($J$65:Z$65,$J62:Z62)&lt;0.5, "Pending", IF(Z62&lt;0.5, "Complete", "In Progress"))</f>
        <v>Pending</v>
      </c>
      <c r="AB62" s="22">
        <v>0</v>
      </c>
      <c r="AC62" s="22">
        <f t="shared" ref="AC62" si="76">MAX(Z62-AB62,0)</f>
        <v>0</v>
      </c>
      <c r="AD62" s="23" t="str">
        <f>IF(SUMPRODUCT($J$65:AC$65,$J62:AC62)&lt;0.5, "Pending", IF(AC62&lt;0.5, "Complete", "In Progress"))</f>
        <v>Pending</v>
      </c>
      <c r="AE62" s="22">
        <v>0</v>
      </c>
      <c r="AF62" s="22">
        <f t="shared" ref="AF62" si="77">MAX(AC62-AE62,0)</f>
        <v>0</v>
      </c>
      <c r="AG62" s="23" t="str">
        <f>IF(SUMPRODUCT($J$65:AF$65,$J62:AF62)&lt;0.5, "Pending", IF(AF62&lt;0.5, "Complete", "In Progress"))</f>
        <v>Pending</v>
      </c>
      <c r="AH62" s="22">
        <v>0</v>
      </c>
      <c r="AI62" s="22">
        <f t="shared" ref="AI62" si="78">MAX(AF62-AH62,0)</f>
        <v>0</v>
      </c>
      <c r="AJ62" s="23" t="str">
        <f>IF(SUMPRODUCT($J$65:AI$65,$J62:AI62)&lt;0.5, "Pending", IF(AI62&lt;0.5, "Complete", "In Progress"))</f>
        <v>Pending</v>
      </c>
      <c r="AK62" s="22">
        <v>0</v>
      </c>
      <c r="AL62" s="22">
        <f t="shared" ref="AL62" si="79">MAX(AI62-AK62,0)</f>
        <v>0</v>
      </c>
      <c r="AM62" s="23" t="str">
        <f>IF(SUMPRODUCT($J$65:AL$65,$J62:AL62)&lt;0.5, "Pending", IF(AL62&lt;0.5, "Complete", "In Progress"))</f>
        <v>Pending</v>
      </c>
      <c r="AN62" s="22">
        <v>0</v>
      </c>
      <c r="AO62" s="22">
        <f t="shared" ref="AO62" si="80">MAX(AL62-AN62,0)</f>
        <v>0</v>
      </c>
      <c r="AP62" s="23" t="str">
        <f>IF(SUMPRODUCT($J$65:AO$65,$J62:AO62)&lt;0.5, "Pending", IF(AO62&lt;0.5, "Complete", "In Progress"))</f>
        <v>Pending</v>
      </c>
      <c r="AQ62" s="22">
        <v>0</v>
      </c>
      <c r="AR62" s="22">
        <f t="shared" ref="AR62" si="81">MAX(AO62-AQ62,0)</f>
        <v>0</v>
      </c>
      <c r="AS62" s="23" t="str">
        <f>IF(SUMPRODUCT($J$65:AR$65,$J62:AR62)&lt;0.5, "Pending", IF(AR62&lt;0.5, "Complete", "In Progress"))</f>
        <v>Pending</v>
      </c>
      <c r="AT62" s="22">
        <v>0</v>
      </c>
      <c r="AU62" s="22">
        <f t="shared" ref="AU62" si="82">MAX(AR62-AT62,0)</f>
        <v>0</v>
      </c>
      <c r="AV62" s="23" t="str">
        <f>IF(SUMPRODUCT($J$65:AU$65,$J62:AU62)&lt;0.5, "Pending", IF(AU62&lt;0.5, "Complete", "In Progress"))</f>
        <v>Pending</v>
      </c>
      <c r="AW62" s="22">
        <v>0</v>
      </c>
      <c r="AX62" s="22">
        <f t="shared" ref="AX62" si="83">MAX(AU62-AW62,0)</f>
        <v>0</v>
      </c>
      <c r="AY62" s="23" t="str">
        <f>IF(SUMPRODUCT($J$65:AX$65,$J62:AX62)&lt;0.5,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IF(SUMPRODUCT($J$65:BA$65,$J62:BA62)&lt;0.5, "Pending", IF(BA62&lt;0.5, "Complete", "In Progress"))</f>
        <v>#REF!</v>
      </c>
      <c r="BC62" s="22">
        <v>0</v>
      </c>
      <c r="BD62" s="22" t="e">
        <f t="shared" ref="BD62" si="84">MAX(BA62-BC62,0)</f>
        <v>#REF!</v>
      </c>
      <c r="BE62" s="23" t="e">
        <f>IF(SUMPRODUCT($J$65:BD$65,$J62:BD62)&lt;0.5, "Pending", IF(BD62&lt;0.5, "Complete", "In Progress"))</f>
        <v>#REF!</v>
      </c>
      <c r="BF62" s="22">
        <v>0</v>
      </c>
      <c r="BG62" s="22" t="e">
        <f t="shared" ref="BG62" si="85">MAX(BD62-BF62,0)</f>
        <v>#REF!</v>
      </c>
      <c r="BH62" s="23" t="e">
        <f>IF(SUMPRODUCT($J$65:BG$65,$J62:BG62)&lt;0.5, "Pending", IF(BG62&lt;0.5, "Complete", "In Progress"))</f>
        <v>#REF!</v>
      </c>
      <c r="BI62" s="22">
        <v>0</v>
      </c>
      <c r="BJ62" s="22" t="e">
        <f t="shared" ref="BJ62" si="86">MAX(BG62-BI62,0)</f>
        <v>#REF!</v>
      </c>
      <c r="BK62" s="23" t="e">
        <f>IF(SUMPRODUCT($J$65:BJ$65,$J62:BJ62)&lt;0.5, "Pending", IF(BJ62&lt;0.5, "Complete", "In Progress"))</f>
        <v>#REF!</v>
      </c>
      <c r="BL62" s="22">
        <v>0</v>
      </c>
      <c r="BM62" s="22" t="e">
        <f t="shared" ref="BM62" si="87">MAX(BJ62-BL62,0)</f>
        <v>#REF!</v>
      </c>
      <c r="BN62" s="23" t="e">
        <f>IF(SUMPRODUCT($J$65:BM$65,$J62:BM62)&lt;0.5, "Pending", IF(BM62&lt;0.5, "Complete", "In Progress"))</f>
        <v>#REF!</v>
      </c>
      <c r="BO62" s="22">
        <v>0</v>
      </c>
      <c r="BP62" s="22" t="e">
        <f t="shared" ref="BP62" si="88">MAX(BM62-BO62,0)</f>
        <v>#REF!</v>
      </c>
      <c r="BQ62" s="23" t="e">
        <f>IF(SUMPRODUCT($J$65:BP$65,$J62:BP62)&lt;0.5, "Pending", IF(BP62&lt;0.5, "Complete", "In Progress"))</f>
        <v>#REF!</v>
      </c>
      <c r="BR62" s="22">
        <v>0</v>
      </c>
      <c r="BS62" s="22" t="e">
        <f t="shared" ref="BS62" si="89">MAX(BP62-BR62,0)</f>
        <v>#REF!</v>
      </c>
      <c r="BT62" s="23" t="e">
        <f>IF(SUMPRODUCT($J$65:BS$65,$J62:BS62)&lt;0.5, "Pending", IF(BS62&lt;0.5, "Complete", "In Progress"))</f>
        <v>#REF!</v>
      </c>
      <c r="BU62" s="22">
        <v>0</v>
      </c>
      <c r="BV62" s="22" t="e">
        <f t="shared" ref="BV62" si="90">MAX(BS62-BU62,0)</f>
        <v>#REF!</v>
      </c>
      <c r="BW62" s="23" t="e">
        <f>IF(SUMPRODUCT($J$65:BV$65,$J62:BV62)&lt;0.5, "Pending", IF(BV62&lt;0.5, "Complete", "In Progress"))</f>
        <v>#REF!</v>
      </c>
      <c r="BX62" s="22">
        <v>0</v>
      </c>
      <c r="BY62" s="22" t="e">
        <f t="shared" ref="BY62" si="91">MAX(BV62-BX62,0)</f>
        <v>#REF!</v>
      </c>
      <c r="BZ62" s="23" t="e">
        <f>IF(SUMPRODUCT($J$65:BY$65,$J62:BY62)&lt;0.5, "Pending", IF(BY62&lt;0.5, "Complete", "In Progress"))</f>
        <v>#REF!</v>
      </c>
      <c r="CA62" s="22">
        <v>0</v>
      </c>
      <c r="CB62" s="22" t="e">
        <f t="shared" ref="CB62" si="92">MAX(BY62-CA62,0)</f>
        <v>#REF!</v>
      </c>
      <c r="CC62" s="23" t="e">
        <f>IF(SUMPRODUCT($J$65:CB$65,$J62:CB62)&lt;0.5, "Pending", IF(CB62&lt;0.5, "Complete", "In Progress"))</f>
        <v>#REF!</v>
      </c>
      <c r="CD62" s="24"/>
      <c r="CE62" s="25">
        <f>SUMPRODUCT($H$65:AY$65,$H62:AY62)</f>
        <v>0</v>
      </c>
    </row>
    <row r="63" spans="1:83" hidden="1">
      <c r="A63" s="26"/>
      <c r="B63" s="26"/>
      <c r="C63" s="26"/>
      <c r="D63" s="26"/>
      <c r="E63" s="26"/>
      <c r="F63" s="26"/>
      <c r="G63" s="26"/>
      <c r="H63" s="26"/>
      <c r="I63" s="26"/>
      <c r="J63" s="24"/>
      <c r="K63" s="24"/>
      <c r="L63" s="24"/>
      <c r="M63" s="27"/>
      <c r="N63" s="27"/>
      <c r="O63" s="24"/>
      <c r="P63" s="27"/>
      <c r="Q63" s="27"/>
      <c r="R63" s="24"/>
      <c r="S63" s="27"/>
      <c r="T63" s="27"/>
      <c r="U63" s="27"/>
      <c r="V63" s="27"/>
      <c r="W63" s="27"/>
      <c r="X63" s="24"/>
      <c r="Y63" s="27"/>
      <c r="Z63" s="27"/>
      <c r="AA63" s="24"/>
      <c r="AB63" s="27"/>
      <c r="AC63" s="27"/>
      <c r="AD63" s="24"/>
      <c r="AE63" s="27"/>
      <c r="AF63" s="27"/>
      <c r="AG63" s="24"/>
      <c r="AH63" s="27"/>
      <c r="AI63" s="27"/>
      <c r="AJ63" s="24"/>
      <c r="AK63" s="27"/>
      <c r="AL63" s="27"/>
      <c r="AM63" s="24"/>
      <c r="AN63" s="27"/>
      <c r="AO63" s="27"/>
      <c r="AP63" s="24"/>
      <c r="AQ63" s="27"/>
      <c r="AR63" s="27"/>
      <c r="AS63" s="24"/>
      <c r="AT63" s="27"/>
      <c r="AU63" s="27"/>
      <c r="AV63" s="24"/>
      <c r="AW63" s="27"/>
      <c r="AX63" s="27"/>
      <c r="AY63" s="24"/>
      <c r="AZ63" s="27"/>
      <c r="BA63" s="27"/>
      <c r="BB63" s="24"/>
      <c r="BC63" s="27"/>
      <c r="BD63" s="27"/>
      <c r="BE63" s="24"/>
      <c r="BF63" s="27"/>
      <c r="BG63" s="27"/>
      <c r="BH63" s="24"/>
      <c r="BI63" s="27"/>
      <c r="BJ63" s="27"/>
      <c r="BK63" s="24"/>
      <c r="BL63" s="27"/>
      <c r="BM63" s="27"/>
      <c r="BN63" s="24"/>
      <c r="BO63" s="27"/>
      <c r="BP63" s="27"/>
      <c r="BQ63" s="24"/>
      <c r="BR63" s="27"/>
      <c r="BS63" s="27"/>
      <c r="BT63" s="24"/>
      <c r="BU63" s="27"/>
      <c r="BV63" s="27"/>
      <c r="BW63" s="24"/>
      <c r="BX63" s="27"/>
      <c r="BY63" s="27"/>
      <c r="BZ63" s="24"/>
      <c r="CA63" s="27"/>
      <c r="CB63" s="27"/>
      <c r="CC63" s="24"/>
      <c r="CD63" s="24"/>
      <c r="CE63" s="28">
        <f>SUMPRODUCT($H$66:BK$66,$H63:BK63)</f>
        <v>0</v>
      </c>
    </row>
    <row r="64" spans="1:83">
      <c r="A64" s="29"/>
      <c r="B64" s="29"/>
      <c r="C64" s="29"/>
      <c r="D64" s="29"/>
      <c r="E64" s="29"/>
      <c r="F64" s="29"/>
      <c r="G64" s="1"/>
      <c r="H64" s="29"/>
      <c r="I64" s="29"/>
      <c r="J64" s="190" t="s">
        <v>9</v>
      </c>
      <c r="K64" s="191"/>
      <c r="L64" s="30">
        <v>1</v>
      </c>
      <c r="M64" s="187" t="s">
        <v>9</v>
      </c>
      <c r="N64" s="189"/>
      <c r="O64" s="30">
        <f>L64+1</f>
        <v>2</v>
      </c>
      <c r="P64" s="187" t="s">
        <v>9</v>
      </c>
      <c r="Q64" s="189"/>
      <c r="R64" s="30">
        <f>O64+1</f>
        <v>3</v>
      </c>
      <c r="S64" s="187" t="s">
        <v>9</v>
      </c>
      <c r="T64" s="189"/>
      <c r="U64" s="30">
        <f>R64+1</f>
        <v>4</v>
      </c>
      <c r="V64" s="187" t="s">
        <v>9</v>
      </c>
      <c r="W64" s="189"/>
      <c r="X64" s="30">
        <f>U64+1</f>
        <v>5</v>
      </c>
      <c r="Y64" s="187" t="s">
        <v>9</v>
      </c>
      <c r="Z64" s="187"/>
      <c r="AA64" s="30">
        <f>X64+1</f>
        <v>6</v>
      </c>
      <c r="AB64" s="187" t="s">
        <v>9</v>
      </c>
      <c r="AC64" s="187"/>
      <c r="AD64" s="30">
        <f>AA64+1</f>
        <v>7</v>
      </c>
      <c r="AE64" s="187" t="s">
        <v>9</v>
      </c>
      <c r="AF64" s="187"/>
      <c r="AG64" s="30">
        <f>AD64+1</f>
        <v>8</v>
      </c>
      <c r="AH64" s="187" t="s">
        <v>9</v>
      </c>
      <c r="AI64" s="187"/>
      <c r="AJ64" s="30">
        <f>AG64+1</f>
        <v>9</v>
      </c>
      <c r="AK64" s="187" t="s">
        <v>9</v>
      </c>
      <c r="AL64" s="187"/>
      <c r="AM64" s="30">
        <f>AJ64+1</f>
        <v>10</v>
      </c>
      <c r="AN64" s="187" t="s">
        <v>9</v>
      </c>
      <c r="AO64" s="187"/>
      <c r="AP64" s="30">
        <f>AM64+1</f>
        <v>11</v>
      </c>
      <c r="AQ64" s="187" t="s">
        <v>9</v>
      </c>
      <c r="AR64" s="187"/>
      <c r="AS64" s="30">
        <f>AP64+1</f>
        <v>12</v>
      </c>
      <c r="AT64" s="187" t="s">
        <v>9</v>
      </c>
      <c r="AU64" s="187"/>
      <c r="AV64" s="30">
        <f>AS64+1</f>
        <v>13</v>
      </c>
      <c r="AW64" s="187" t="s">
        <v>9</v>
      </c>
      <c r="AX64" s="187"/>
      <c r="AY64" s="30">
        <f>AV64+1</f>
        <v>14</v>
      </c>
      <c r="AZ64" s="187" t="s">
        <v>9</v>
      </c>
      <c r="BA64" s="189"/>
      <c r="BB64" s="30" t="e">
        <f>#REF!+1</f>
        <v>#REF!</v>
      </c>
      <c r="BC64" s="187" t="s">
        <v>9</v>
      </c>
      <c r="BD64" s="189"/>
      <c r="BE64" s="30" t="e">
        <f>BB64+1</f>
        <v>#REF!</v>
      </c>
      <c r="BF64" s="187" t="s">
        <v>9</v>
      </c>
      <c r="BG64" s="189"/>
      <c r="BH64" s="30" t="e">
        <f>BE64+1</f>
        <v>#REF!</v>
      </c>
      <c r="BI64" s="187" t="s">
        <v>9</v>
      </c>
      <c r="BJ64" s="189"/>
      <c r="BK64" s="30" t="e">
        <f>BH64+1</f>
        <v>#REF!</v>
      </c>
      <c r="BL64" s="187" t="s">
        <v>9</v>
      </c>
      <c r="BM64" s="189"/>
      <c r="BN64" s="30" t="e">
        <f>BK64+1</f>
        <v>#REF!</v>
      </c>
      <c r="BO64" s="187" t="s">
        <v>9</v>
      </c>
      <c r="BP64" s="189"/>
      <c r="BQ64" s="30" t="e">
        <f>BN64+1</f>
        <v>#REF!</v>
      </c>
      <c r="BR64" s="187" t="s">
        <v>9</v>
      </c>
      <c r="BS64" s="189"/>
      <c r="BT64" s="30" t="e">
        <f>BQ64+1</f>
        <v>#REF!</v>
      </c>
      <c r="BU64" s="187" t="s">
        <v>9</v>
      </c>
      <c r="BV64" s="189"/>
      <c r="BW64" s="30" t="e">
        <f>BT64+1</f>
        <v>#REF!</v>
      </c>
      <c r="BX64" s="187" t="s">
        <v>9</v>
      </c>
      <c r="BY64" s="189"/>
      <c r="BZ64" s="30" t="e">
        <f>BW64+1</f>
        <v>#REF!</v>
      </c>
      <c r="CA64" s="187" t="s">
        <v>9</v>
      </c>
      <c r="CB64" s="189"/>
      <c r="CC64" s="30" t="e">
        <f>BZ64+1</f>
        <v>#REF!</v>
      </c>
      <c r="CD64" s="30"/>
      <c r="CE64" s="31"/>
    </row>
    <row r="65" spans="1:83" hidden="1">
      <c r="A65" s="32"/>
      <c r="B65" s="32"/>
      <c r="C65" s="32"/>
      <c r="D65" s="32"/>
      <c r="E65" s="32" t="s">
        <v>11</v>
      </c>
      <c r="F65" s="32"/>
      <c r="G65" s="32"/>
      <c r="H65" s="32"/>
      <c r="I65" s="32"/>
      <c r="J65" s="155">
        <v>1</v>
      </c>
      <c r="K65" s="155">
        <v>0</v>
      </c>
      <c r="L65" s="32">
        <v>0</v>
      </c>
      <c r="M65" s="32">
        <v>1</v>
      </c>
      <c r="N65" s="32">
        <v>0</v>
      </c>
      <c r="O65" s="32">
        <v>0</v>
      </c>
      <c r="P65" s="32">
        <v>1</v>
      </c>
      <c r="Q65" s="32">
        <v>0</v>
      </c>
      <c r="R65" s="32">
        <v>0</v>
      </c>
      <c r="S65" s="32">
        <v>1</v>
      </c>
      <c r="T65" s="32">
        <v>0</v>
      </c>
      <c r="U65" s="32">
        <v>0</v>
      </c>
      <c r="V65" s="32">
        <v>1</v>
      </c>
      <c r="W65" s="32">
        <v>0</v>
      </c>
      <c r="X65" s="32">
        <v>0</v>
      </c>
      <c r="Y65" s="32">
        <v>1</v>
      </c>
      <c r="Z65" s="32">
        <v>0</v>
      </c>
      <c r="AA65" s="32">
        <v>0</v>
      </c>
      <c r="AB65" s="32">
        <v>1</v>
      </c>
      <c r="AC65" s="32">
        <v>0</v>
      </c>
      <c r="AD65" s="32">
        <v>0</v>
      </c>
      <c r="AE65" s="32">
        <v>1</v>
      </c>
      <c r="AF65" s="32">
        <v>0</v>
      </c>
      <c r="AG65" s="32">
        <v>0</v>
      </c>
      <c r="AH65" s="32">
        <v>1</v>
      </c>
      <c r="AI65" s="32">
        <v>0</v>
      </c>
      <c r="AJ65" s="32">
        <v>0</v>
      </c>
      <c r="AK65" s="32">
        <v>1</v>
      </c>
      <c r="AL65" s="32">
        <v>0</v>
      </c>
      <c r="AM65" s="32">
        <v>0</v>
      </c>
      <c r="AN65" s="32">
        <v>1</v>
      </c>
      <c r="AO65" s="32">
        <v>0</v>
      </c>
      <c r="AP65" s="32">
        <v>0</v>
      </c>
      <c r="AQ65" s="32">
        <v>1</v>
      </c>
      <c r="AR65" s="32">
        <v>0</v>
      </c>
      <c r="AS65" s="32">
        <v>0</v>
      </c>
      <c r="AT65" s="32">
        <v>1</v>
      </c>
      <c r="AU65" s="32">
        <v>0</v>
      </c>
      <c r="AV65" s="32">
        <v>0</v>
      </c>
      <c r="AW65" s="32">
        <v>1</v>
      </c>
      <c r="AX65" s="32">
        <v>0</v>
      </c>
      <c r="AY65" s="32">
        <v>0</v>
      </c>
      <c r="AZ65" s="32">
        <v>1</v>
      </c>
      <c r="BA65" s="32">
        <v>0</v>
      </c>
      <c r="BB65" s="32">
        <v>0</v>
      </c>
      <c r="BC65" s="32">
        <v>1</v>
      </c>
      <c r="BD65" s="32">
        <v>0</v>
      </c>
      <c r="BE65" s="32">
        <v>0</v>
      </c>
      <c r="BF65" s="32">
        <v>1</v>
      </c>
      <c r="BG65" s="32">
        <v>0</v>
      </c>
      <c r="BH65" s="32">
        <v>0</v>
      </c>
      <c r="BI65" s="32">
        <v>1</v>
      </c>
      <c r="BJ65" s="32">
        <v>0</v>
      </c>
      <c r="BK65" s="32">
        <v>0</v>
      </c>
      <c r="BL65" s="32">
        <v>1</v>
      </c>
      <c r="BM65" s="32">
        <v>0</v>
      </c>
      <c r="BN65" s="32">
        <v>0</v>
      </c>
      <c r="BO65" s="32">
        <v>1</v>
      </c>
      <c r="BP65" s="32">
        <v>0</v>
      </c>
      <c r="BQ65" s="32">
        <v>0</v>
      </c>
      <c r="BR65" s="32">
        <v>1</v>
      </c>
      <c r="BS65" s="32">
        <v>0</v>
      </c>
      <c r="BT65" s="32">
        <v>0</v>
      </c>
      <c r="BU65" s="32">
        <v>1</v>
      </c>
      <c r="BV65" s="32">
        <v>0</v>
      </c>
      <c r="BW65" s="32">
        <v>0</v>
      </c>
      <c r="BX65" s="32">
        <v>1</v>
      </c>
      <c r="BY65" s="32">
        <v>0</v>
      </c>
      <c r="BZ65" s="32">
        <v>0</v>
      </c>
      <c r="CA65" s="32">
        <v>1</v>
      </c>
      <c r="CB65" s="32">
        <v>0</v>
      </c>
      <c r="CC65" s="32">
        <v>0</v>
      </c>
      <c r="CD65" s="32"/>
      <c r="CE65" s="33"/>
    </row>
    <row r="66" spans="1:83" hidden="1">
      <c r="A66" s="34"/>
      <c r="B66" s="34"/>
      <c r="C66" s="34"/>
      <c r="D66" s="34"/>
      <c r="E66" s="32" t="s">
        <v>13</v>
      </c>
      <c r="F66" s="32"/>
      <c r="G66" s="32"/>
      <c r="H66" s="32"/>
      <c r="I66" s="32"/>
      <c r="J66" s="24">
        <v>0</v>
      </c>
      <c r="K66" s="155">
        <v>1</v>
      </c>
      <c r="L66" s="32">
        <v>0</v>
      </c>
      <c r="M66" s="35">
        <v>0</v>
      </c>
      <c r="N66" s="32">
        <v>1</v>
      </c>
      <c r="O66" s="32">
        <v>0</v>
      </c>
      <c r="P66" s="35">
        <v>0</v>
      </c>
      <c r="Q66" s="32">
        <v>1</v>
      </c>
      <c r="R66" s="32">
        <v>0</v>
      </c>
      <c r="S66" s="35">
        <v>0</v>
      </c>
      <c r="T66" s="32">
        <v>1</v>
      </c>
      <c r="U66" s="32">
        <v>0</v>
      </c>
      <c r="V66" s="35">
        <v>0</v>
      </c>
      <c r="W66" s="32">
        <v>1</v>
      </c>
      <c r="X66" s="32">
        <v>0</v>
      </c>
      <c r="Y66" s="35">
        <v>0</v>
      </c>
      <c r="Z66" s="32">
        <v>1</v>
      </c>
      <c r="AA66" s="32">
        <v>0</v>
      </c>
      <c r="AB66" s="35">
        <v>0</v>
      </c>
      <c r="AC66" s="32">
        <v>1</v>
      </c>
      <c r="AD66" s="32">
        <v>0</v>
      </c>
      <c r="AE66" s="35">
        <v>0</v>
      </c>
      <c r="AF66" s="32">
        <v>1</v>
      </c>
      <c r="AG66" s="32">
        <v>0</v>
      </c>
      <c r="AH66" s="35">
        <v>0</v>
      </c>
      <c r="AI66" s="32">
        <v>1</v>
      </c>
      <c r="AJ66" s="32">
        <v>0</v>
      </c>
      <c r="AK66" s="35">
        <v>0</v>
      </c>
      <c r="AL66" s="32">
        <v>1</v>
      </c>
      <c r="AM66" s="32">
        <v>0</v>
      </c>
      <c r="AN66" s="35">
        <v>0</v>
      </c>
      <c r="AO66" s="32">
        <v>1</v>
      </c>
      <c r="AP66" s="32">
        <v>0</v>
      </c>
      <c r="AQ66" s="35">
        <v>0</v>
      </c>
      <c r="AR66" s="32">
        <v>1</v>
      </c>
      <c r="AS66" s="32">
        <v>0</v>
      </c>
      <c r="AT66" s="35">
        <v>0</v>
      </c>
      <c r="AU66" s="32">
        <v>1</v>
      </c>
      <c r="AV66" s="32">
        <v>0</v>
      </c>
      <c r="AW66" s="35">
        <v>0</v>
      </c>
      <c r="AX66" s="32">
        <v>1</v>
      </c>
      <c r="AY66" s="32">
        <v>0</v>
      </c>
      <c r="AZ66" s="35">
        <v>0</v>
      </c>
      <c r="BA66" s="32">
        <v>1</v>
      </c>
      <c r="BB66" s="32">
        <v>0</v>
      </c>
      <c r="BC66" s="35">
        <v>0</v>
      </c>
      <c r="BD66" s="32">
        <v>1</v>
      </c>
      <c r="BE66" s="32">
        <v>0</v>
      </c>
      <c r="BF66" s="35">
        <v>0</v>
      </c>
      <c r="BG66" s="32">
        <v>1</v>
      </c>
      <c r="BH66" s="32">
        <v>0</v>
      </c>
      <c r="BI66" s="35">
        <v>0</v>
      </c>
      <c r="BJ66" s="32">
        <v>1</v>
      </c>
      <c r="BK66" s="32">
        <v>0</v>
      </c>
      <c r="BL66" s="35">
        <v>0</v>
      </c>
      <c r="BM66" s="32">
        <v>1</v>
      </c>
      <c r="BN66" s="32">
        <v>0</v>
      </c>
      <c r="BO66" s="35">
        <v>0</v>
      </c>
      <c r="BP66" s="32">
        <v>1</v>
      </c>
      <c r="BQ66" s="32">
        <v>0</v>
      </c>
      <c r="BR66" s="35">
        <v>0</v>
      </c>
      <c r="BS66" s="32">
        <v>1</v>
      </c>
      <c r="BT66" s="32">
        <v>0</v>
      </c>
      <c r="BU66" s="35">
        <v>0</v>
      </c>
      <c r="BV66" s="32">
        <v>1</v>
      </c>
      <c r="BW66" s="32">
        <v>0</v>
      </c>
      <c r="BX66" s="35">
        <v>0</v>
      </c>
      <c r="BY66" s="32">
        <v>1</v>
      </c>
      <c r="BZ66" s="32">
        <v>0</v>
      </c>
      <c r="CA66" s="35">
        <v>0</v>
      </c>
      <c r="CB66" s="32">
        <v>1</v>
      </c>
      <c r="CC66" s="32">
        <v>0</v>
      </c>
      <c r="CD66" s="32"/>
    </row>
    <row r="67" spans="1:83" hidden="1">
      <c r="A67" s="32"/>
      <c r="B67" s="32"/>
      <c r="C67" s="32"/>
      <c r="D67" s="32"/>
      <c r="E67" s="36" t="s">
        <v>14</v>
      </c>
      <c r="F67" s="32"/>
      <c r="G67" s="32"/>
      <c r="H67" s="32"/>
      <c r="I67" s="32"/>
      <c r="J67" s="24">
        <v>0</v>
      </c>
      <c r="K67" s="155">
        <v>0</v>
      </c>
      <c r="L67" s="32">
        <v>1</v>
      </c>
      <c r="M67" s="35">
        <v>0</v>
      </c>
      <c r="N67" s="32">
        <v>0</v>
      </c>
      <c r="O67" s="32">
        <v>1</v>
      </c>
      <c r="P67" s="35">
        <v>0</v>
      </c>
      <c r="Q67" s="32">
        <v>0</v>
      </c>
      <c r="R67" s="32">
        <v>1</v>
      </c>
      <c r="S67" s="35">
        <v>0</v>
      </c>
      <c r="T67" s="32">
        <v>0</v>
      </c>
      <c r="U67" s="32">
        <v>1</v>
      </c>
      <c r="V67" s="35">
        <v>0</v>
      </c>
      <c r="W67" s="32">
        <v>0</v>
      </c>
      <c r="X67" s="32">
        <v>1</v>
      </c>
      <c r="Y67" s="35">
        <v>0</v>
      </c>
      <c r="Z67" s="32">
        <v>0</v>
      </c>
      <c r="AA67" s="32">
        <v>1</v>
      </c>
      <c r="AB67" s="35">
        <v>0</v>
      </c>
      <c r="AC67" s="32">
        <v>0</v>
      </c>
      <c r="AD67" s="32">
        <v>1</v>
      </c>
      <c r="AE67" s="35">
        <v>0</v>
      </c>
      <c r="AF67" s="32">
        <v>0</v>
      </c>
      <c r="AG67" s="32">
        <v>1</v>
      </c>
      <c r="AH67" s="35">
        <v>0</v>
      </c>
      <c r="AI67" s="32">
        <v>0</v>
      </c>
      <c r="AJ67" s="32">
        <v>1</v>
      </c>
      <c r="AK67" s="35">
        <v>0</v>
      </c>
      <c r="AL67" s="32">
        <v>0</v>
      </c>
      <c r="AM67" s="32">
        <v>1</v>
      </c>
      <c r="AN67" s="35">
        <v>0</v>
      </c>
      <c r="AO67" s="32">
        <v>0</v>
      </c>
      <c r="AP67" s="32">
        <v>1</v>
      </c>
      <c r="AQ67" s="35">
        <v>0</v>
      </c>
      <c r="AR67" s="32">
        <v>0</v>
      </c>
      <c r="AS67" s="32">
        <v>1</v>
      </c>
      <c r="AT67" s="35">
        <v>0</v>
      </c>
      <c r="AU67" s="32">
        <v>0</v>
      </c>
      <c r="AV67" s="32">
        <v>1</v>
      </c>
      <c r="AW67" s="35">
        <v>0</v>
      </c>
      <c r="AX67" s="32">
        <v>0</v>
      </c>
      <c r="AY67" s="32">
        <v>1</v>
      </c>
      <c r="AZ67" s="35">
        <v>0</v>
      </c>
      <c r="BA67" s="32">
        <v>0</v>
      </c>
      <c r="BB67" s="32">
        <v>1</v>
      </c>
      <c r="BC67" s="35">
        <v>0</v>
      </c>
      <c r="BD67" s="32">
        <v>0</v>
      </c>
      <c r="BE67" s="32">
        <v>1</v>
      </c>
      <c r="BF67" s="35">
        <v>0</v>
      </c>
      <c r="BG67" s="32">
        <v>0</v>
      </c>
      <c r="BH67" s="32">
        <v>1</v>
      </c>
      <c r="BI67" s="35">
        <v>0</v>
      </c>
      <c r="BJ67" s="32">
        <v>0</v>
      </c>
      <c r="BK67" s="32">
        <v>1</v>
      </c>
      <c r="BL67" s="35">
        <v>0</v>
      </c>
      <c r="BM67" s="32">
        <v>0</v>
      </c>
      <c r="BN67" s="32">
        <v>1</v>
      </c>
      <c r="BO67" s="35">
        <v>0</v>
      </c>
      <c r="BP67" s="32">
        <v>0</v>
      </c>
      <c r="BQ67" s="32">
        <v>1</v>
      </c>
      <c r="BR67" s="35">
        <v>0</v>
      </c>
      <c r="BS67" s="32">
        <v>0</v>
      </c>
      <c r="BT67" s="32">
        <v>1</v>
      </c>
      <c r="BU67" s="35">
        <v>0</v>
      </c>
      <c r="BV67" s="32">
        <v>0</v>
      </c>
      <c r="BW67" s="32">
        <v>1</v>
      </c>
      <c r="BX67" s="35">
        <v>0</v>
      </c>
      <c r="BY67" s="32">
        <v>0</v>
      </c>
      <c r="BZ67" s="32">
        <v>1</v>
      </c>
      <c r="CA67" s="35">
        <v>0</v>
      </c>
      <c r="CB67" s="32">
        <v>0</v>
      </c>
      <c r="CC67" s="32">
        <v>1</v>
      </c>
      <c r="CD67" s="32"/>
    </row>
    <row r="68" spans="1:83">
      <c r="A68" s="37">
        <v>300</v>
      </c>
      <c r="B68" s="37">
        <v>300</v>
      </c>
      <c r="C68" s="37">
        <v>300</v>
      </c>
      <c r="D68" s="37" t="s">
        <v>90</v>
      </c>
      <c r="E68" s="38" t="s">
        <v>86</v>
      </c>
      <c r="F68" s="38"/>
      <c r="G68" s="38"/>
      <c r="H68" s="38"/>
      <c r="I68" s="39">
        <f>SUBTOTAL(109,I$4:I$63)</f>
        <v>16</v>
      </c>
      <c r="J68" s="156">
        <f>SUBTOTAL(109,J$4:J$63)</f>
        <v>8</v>
      </c>
      <c r="K68" s="156">
        <f>SUBTOTAL(109,K$4:K$62)</f>
        <v>8</v>
      </c>
      <c r="L68" s="39"/>
      <c r="M68" s="39">
        <f>SUBTOTAL(109,M$4:M$63)</f>
        <v>0</v>
      </c>
      <c r="N68" s="39">
        <f>SUBTOTAL(109,N$4:N$62)</f>
        <v>8</v>
      </c>
      <c r="O68" s="39"/>
      <c r="P68" s="39">
        <f>SUBTOTAL(109,P$4:P$63)</f>
        <v>0</v>
      </c>
      <c r="Q68" s="39">
        <f>SUBTOTAL(109,Q$4:Q$62)</f>
        <v>8</v>
      </c>
      <c r="R68" s="39"/>
      <c r="S68" s="39">
        <f>SUBTOTAL(109,S$4:S$63)</f>
        <v>3</v>
      </c>
      <c r="T68" s="39">
        <f>SUBTOTAL(109,T$4:T$62)</f>
        <v>5</v>
      </c>
      <c r="U68" s="39"/>
      <c r="V68" s="39">
        <f>SUBTOTAL(109,V$4:V$63)</f>
        <v>0</v>
      </c>
      <c r="W68" s="39">
        <f>SUBTOTAL(109,W$4:W$62)</f>
        <v>5</v>
      </c>
      <c r="X68" s="39"/>
      <c r="Y68" s="39">
        <f>SUBTOTAL(109,Y$4:Y$63)</f>
        <v>0</v>
      </c>
      <c r="Z68" s="39">
        <f>SUBTOTAL(109,Z$4:Z$62)</f>
        <v>5</v>
      </c>
      <c r="AA68" s="39"/>
      <c r="AB68" s="39">
        <f>SUBTOTAL(109,AB$4:AB$63)</f>
        <v>0</v>
      </c>
      <c r="AC68" s="39">
        <f>SUBTOTAL(109,AC$4:AC$62)</f>
        <v>5</v>
      </c>
      <c r="AD68" s="39"/>
      <c r="AE68" s="39">
        <f>SUBTOTAL(109,AE$4:AE$63)</f>
        <v>0</v>
      </c>
      <c r="AF68" s="39">
        <f>SUBTOTAL(109,AF$4:AF$62)</f>
        <v>5</v>
      </c>
      <c r="AG68" s="39"/>
      <c r="AH68" s="39">
        <f>SUBTOTAL(109,AH$4:AH$63)</f>
        <v>0</v>
      </c>
      <c r="AI68" s="39">
        <f>SUBTOTAL(109,AI$4:AI$62)</f>
        <v>5</v>
      </c>
      <c r="AJ68" s="39"/>
      <c r="AK68" s="39">
        <f>SUBTOTAL(109,AK$4:AK$63)</f>
        <v>0</v>
      </c>
      <c r="AL68" s="39">
        <f>SUBTOTAL(109,AL$4:AL$62)</f>
        <v>5</v>
      </c>
      <c r="AM68" s="39"/>
      <c r="AN68" s="39">
        <f>SUBTOTAL(109,AN$4:AN$63)</f>
        <v>0</v>
      </c>
      <c r="AO68" s="39">
        <f>SUBTOTAL(109,AO$4:AO$62)</f>
        <v>5</v>
      </c>
      <c r="AP68" s="39"/>
      <c r="AQ68" s="39">
        <f>SUBTOTAL(109,AQ$4:AQ$63)</f>
        <v>0</v>
      </c>
      <c r="AR68" s="39">
        <f>SUBTOTAL(109,AR$4:AR$62)</f>
        <v>5</v>
      </c>
      <c r="AS68" s="39"/>
      <c r="AT68" s="39">
        <f>SUBTOTAL(109,AT$4:AT$63)</f>
        <v>0</v>
      </c>
      <c r="AU68" s="39">
        <f>SUBTOTAL(109,AU$4:AU$62)</f>
        <v>5</v>
      </c>
      <c r="AV68" s="39"/>
      <c r="AW68" s="39">
        <f>SUBTOTAL(109,AW$4:AW$63)</f>
        <v>0</v>
      </c>
      <c r="AX68" s="39">
        <f>SUBTOTAL(109,AX$4:AX$62)</f>
        <v>5</v>
      </c>
      <c r="AY68" s="39"/>
      <c r="AZ68" s="39">
        <f t="shared" ref="AZ68:CC68" si="93">SUBTOTAL(109,AZ$4:AZ$62)</f>
        <v>0</v>
      </c>
      <c r="BA68" s="39" t="e">
        <f t="shared" si="93"/>
        <v>#REF!</v>
      </c>
      <c r="BB68" s="39" t="e">
        <f t="shared" si="93"/>
        <v>#REF!</v>
      </c>
      <c r="BC68" s="39">
        <f t="shared" si="93"/>
        <v>0</v>
      </c>
      <c r="BD68" s="39" t="e">
        <f t="shared" si="93"/>
        <v>#REF!</v>
      </c>
      <c r="BE68" s="39" t="e">
        <f t="shared" si="93"/>
        <v>#REF!</v>
      </c>
      <c r="BF68" s="39">
        <f t="shared" si="93"/>
        <v>0</v>
      </c>
      <c r="BG68" s="39" t="e">
        <f t="shared" si="93"/>
        <v>#REF!</v>
      </c>
      <c r="BH68" s="39" t="e">
        <f t="shared" si="93"/>
        <v>#REF!</v>
      </c>
      <c r="BI68" s="39">
        <f t="shared" si="93"/>
        <v>0</v>
      </c>
      <c r="BJ68" s="39" t="e">
        <f t="shared" si="93"/>
        <v>#REF!</v>
      </c>
      <c r="BK68" s="39" t="e">
        <f t="shared" si="93"/>
        <v>#REF!</v>
      </c>
      <c r="BL68" s="39">
        <f t="shared" si="93"/>
        <v>0</v>
      </c>
      <c r="BM68" s="39" t="e">
        <f t="shared" si="93"/>
        <v>#REF!</v>
      </c>
      <c r="BN68" s="39" t="e">
        <f t="shared" si="93"/>
        <v>#REF!</v>
      </c>
      <c r="BO68" s="39">
        <f t="shared" si="93"/>
        <v>0</v>
      </c>
      <c r="BP68" s="39" t="e">
        <f t="shared" si="93"/>
        <v>#REF!</v>
      </c>
      <c r="BQ68" s="39" t="e">
        <f t="shared" si="93"/>
        <v>#REF!</v>
      </c>
      <c r="BR68" s="39">
        <f t="shared" si="93"/>
        <v>0</v>
      </c>
      <c r="BS68" s="39" t="e">
        <f t="shared" si="93"/>
        <v>#REF!</v>
      </c>
      <c r="BT68" s="39" t="e">
        <f t="shared" si="93"/>
        <v>#REF!</v>
      </c>
      <c r="BU68" s="39">
        <f t="shared" si="93"/>
        <v>0</v>
      </c>
      <c r="BV68" s="39" t="e">
        <f t="shared" si="93"/>
        <v>#REF!</v>
      </c>
      <c r="BW68" s="39" t="e">
        <f t="shared" si="93"/>
        <v>#REF!</v>
      </c>
      <c r="BX68" s="39">
        <f t="shared" si="93"/>
        <v>0</v>
      </c>
      <c r="BY68" s="39" t="e">
        <f t="shared" si="93"/>
        <v>#REF!</v>
      </c>
      <c r="BZ68" s="39" t="e">
        <f t="shared" si="93"/>
        <v>#REF!</v>
      </c>
      <c r="CA68" s="39">
        <f t="shared" si="93"/>
        <v>0</v>
      </c>
      <c r="CB68" s="39" t="e">
        <f t="shared" si="93"/>
        <v>#REF!</v>
      </c>
      <c r="CC68" s="39" t="e">
        <f t="shared" si="93"/>
        <v>#REF!</v>
      </c>
      <c r="CD68" s="38"/>
      <c r="CE68" s="40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  <c r="H70" s="41"/>
      <c r="I70" s="41"/>
      <c r="J70" s="157"/>
      <c r="K70" s="158"/>
      <c r="L70" s="41"/>
      <c r="M70" s="42"/>
      <c r="N70" s="41"/>
      <c r="O70" s="41"/>
      <c r="P70" s="42"/>
      <c r="Q70" s="41"/>
      <c r="R70" s="41"/>
      <c r="S70" s="42"/>
      <c r="T70" s="41"/>
      <c r="U70" s="41"/>
      <c r="V70" s="42"/>
      <c r="W70" s="41"/>
      <c r="X70" s="41"/>
      <c r="Y70" s="42"/>
      <c r="Z70" s="41"/>
      <c r="AA70" s="41"/>
      <c r="AB70" s="42"/>
      <c r="AC70" s="41"/>
      <c r="AD70" s="41"/>
      <c r="AE70" s="42"/>
      <c r="AF70" s="41"/>
      <c r="AG70" s="41"/>
      <c r="AH70" s="42"/>
      <c r="AI70" s="41"/>
      <c r="AJ70" s="41"/>
      <c r="AK70" s="42"/>
      <c r="AL70" s="41"/>
      <c r="AM70" s="41"/>
      <c r="AN70" s="42"/>
      <c r="AO70" s="41"/>
      <c r="AP70" s="41"/>
      <c r="AQ70" s="42"/>
      <c r="AR70" s="41"/>
      <c r="AS70" s="41"/>
      <c r="AT70" s="42"/>
      <c r="AU70" s="41"/>
      <c r="AV70" s="41"/>
      <c r="AW70" s="42"/>
      <c r="AX70" s="41"/>
      <c r="AY70" s="41"/>
      <c r="AZ70" s="42"/>
      <c r="BA70" s="41"/>
      <c r="BB70" s="41"/>
      <c r="BC70" s="42"/>
      <c r="BD70" s="41"/>
      <c r="BE70" s="41"/>
      <c r="BF70" s="42"/>
      <c r="BG70" s="41"/>
      <c r="BH70" s="41"/>
      <c r="BI70" s="42"/>
      <c r="BJ70" s="41"/>
      <c r="BK70" s="41"/>
      <c r="BL70" s="42"/>
      <c r="BM70" s="41"/>
      <c r="BN70" s="41"/>
      <c r="BO70" s="42"/>
      <c r="BP70" s="41"/>
      <c r="BQ70" s="41"/>
      <c r="BR70" s="42"/>
      <c r="BS70" s="41"/>
      <c r="BT70" s="41"/>
      <c r="BU70" s="42"/>
      <c r="BV70" s="41"/>
      <c r="BW70" s="41"/>
      <c r="BX70" s="42"/>
      <c r="BY70" s="41"/>
      <c r="BZ70" s="41"/>
      <c r="CA70" s="42"/>
      <c r="CB70" s="41"/>
      <c r="CC70" s="41"/>
      <c r="CD70" s="41"/>
    </row>
    <row r="71" spans="1:83">
      <c r="A71" s="41"/>
      <c r="B71" s="41"/>
      <c r="C71" s="41"/>
      <c r="D71" s="41"/>
      <c r="E71" s="41"/>
      <c r="F71" s="41"/>
      <c r="G71" s="41"/>
    </row>
    <row r="72" spans="1:83">
      <c r="A72" s="41"/>
      <c r="B72" s="41"/>
      <c r="C72" s="41"/>
      <c r="D72" s="41"/>
      <c r="E72" s="41"/>
      <c r="F72" s="41"/>
      <c r="G72" s="41"/>
    </row>
  </sheetData>
  <mergeCells count="48">
    <mergeCell ref="AT64:AU64"/>
    <mergeCell ref="AW64:AX64"/>
    <mergeCell ref="AH64:AI64"/>
    <mergeCell ref="AK64:AL64"/>
    <mergeCell ref="AN64:AO64"/>
    <mergeCell ref="AQ64:AR64"/>
    <mergeCell ref="AW1:AY1"/>
    <mergeCell ref="AH1:AJ1"/>
    <mergeCell ref="AK1:AM1"/>
    <mergeCell ref="AN1:AP1"/>
    <mergeCell ref="AQ1:AS1"/>
    <mergeCell ref="AT1:AV1"/>
    <mergeCell ref="V1:X1"/>
    <mergeCell ref="J64:K64"/>
    <mergeCell ref="M64:N64"/>
    <mergeCell ref="P64:Q64"/>
    <mergeCell ref="S64:T64"/>
    <mergeCell ref="V64:W64"/>
    <mergeCell ref="J1:L1"/>
    <mergeCell ref="M1:O1"/>
    <mergeCell ref="P1:R1"/>
    <mergeCell ref="S1:U1"/>
    <mergeCell ref="BL1:BN1"/>
    <mergeCell ref="BL64:BM64"/>
    <mergeCell ref="BO1:BQ1"/>
    <mergeCell ref="BO64:BP64"/>
    <mergeCell ref="AZ1:BB1"/>
    <mergeCell ref="AZ64:BA64"/>
    <mergeCell ref="BC1:BE1"/>
    <mergeCell ref="BC64:BD64"/>
    <mergeCell ref="BF1:BH1"/>
    <mergeCell ref="BF64:BG64"/>
    <mergeCell ref="BI1:BK1"/>
    <mergeCell ref="BI64:BJ64"/>
    <mergeCell ref="BX1:BZ1"/>
    <mergeCell ref="BX64:BY64"/>
    <mergeCell ref="CA1:CC1"/>
    <mergeCell ref="CA64:CB64"/>
    <mergeCell ref="BR1:BT1"/>
    <mergeCell ref="BR64:BS64"/>
    <mergeCell ref="BU1:BW1"/>
    <mergeCell ref="BU64:BV64"/>
    <mergeCell ref="AE64:AF64"/>
    <mergeCell ref="AB64:AC64"/>
    <mergeCell ref="Y64:Z64"/>
    <mergeCell ref="AE1:AG1"/>
    <mergeCell ref="AB1:AD1"/>
    <mergeCell ref="Y1:AA1"/>
  </mergeCells>
  <phoneticPr fontId="2" type="noConversion"/>
  <conditionalFormatting sqref="I68">
    <cfRule type="cellIs" dxfId="47" priority="11" stopIfTrue="1" operator="lessThan">
      <formula>C68*0.75</formula>
    </cfRule>
    <cfRule type="cellIs" dxfId="46" priority="11" stopIfTrue="1" operator="between">
      <formula>C68*0.75</formula>
      <formula>#REF!</formula>
    </cfRule>
    <cfRule type="cellIs" dxfId="45" priority="11" stopIfTrue="1" operator="greaterThan">
      <formula>C68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2 AW4:AW62 AT4:AT62 AQ4:AQ62 AN4:AN62 AK4:AK62 AH4:AH62 AE4:AE62 AB4:AB62 Y4:Y62 V4:V62 CA4:CA62 BX4:BX62 BU4:BU62 BR4:BR62 BO4:BO62 BL4:BL62 BI4:BI62 BF4:BF62 BC4:BC62 AZ4:AZ62 M4:M62 J4:J62 P4:P62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2 AX4:AX62 AU4:AU62 AR4:AR62 AL4:AL62 AF4:AF62 AC4:AC62 Z4:Z62 W4:W62 Q4:Q62 CB4:CB62 BY4:BY62 BV4:BV62 BS4:BS62 BP4:BP62 BM4:BM62 BJ4:BJ62 BG4:BG62 BD4:BD62 BA4:BA62 K4:K62 T4:T62 AI4:AI62 AO4:AO62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3 H4:I62 A4:E62">
    <cfRule type="expression" dxfId="37" priority="18" stopIfTrue="1">
      <formula>MOD(ROW(),2)</formula>
    </cfRule>
  </conditionalFormatting>
  <conditionalFormatting sqref="CC4:CC62 BZ4:BZ62 BW4:BW62 BT4:BT62 BQ4:BQ62 BN4:BN62 BK4:BK62 BH4:BH62 BE4:BE62 BB4:BB62 X4:X62 U4:U62 R4:R62 O4:O62 AY4:AY62 AV4:AV62 AS4:AS62 AP4:AP62 AM4:AM62 AJ4:AJ62 AG4:AG62 AD4:AD62 AA4:AA62 L4:L62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9:K70 M69:N70">
    <cfRule type="expression" dxfId="31" priority="8" stopIfTrue="1">
      <formula>"I1=TODAY()"</formula>
    </cfRule>
  </conditionalFormatting>
  <conditionalFormatting sqref="G64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2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2">
      <formula1>Members</formula1>
    </dataValidation>
    <dataValidation type="list" allowBlank="1" showInputMessage="1" showErrorMessage="1" sqref="A4:A62">
      <formula1>Worktype</formula1>
    </dataValidation>
    <dataValidation type="list" allowBlank="1" showInputMessage="1" showErrorMessage="1" sqref="B4:B62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5" r:id="rId3" name="BtnInsertNewLine"/>
    <control shapeId="6274" r:id="rId4" name="BtnInsertNewLineAtEn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topLeftCell="A10" workbookViewId="0">
      <selection activeCell="E27" sqref="E27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43480</v>
      </c>
      <c r="F20" s="164">
        <f t="shared" si="0"/>
        <v>43481</v>
      </c>
      <c r="G20" s="164">
        <f t="shared" si="0"/>
        <v>43482</v>
      </c>
      <c r="H20" s="164">
        <f t="shared" si="0"/>
        <v>43483</v>
      </c>
      <c r="I20" s="164">
        <f t="shared" si="0"/>
        <v>43486</v>
      </c>
      <c r="J20" s="164">
        <f t="shared" si="0"/>
        <v>43487</v>
      </c>
      <c r="K20" s="164">
        <f t="shared" si="0"/>
        <v>43488</v>
      </c>
      <c r="L20" s="164">
        <f t="shared" si="0"/>
        <v>43489</v>
      </c>
      <c r="M20" s="164">
        <f t="shared" si="0"/>
        <v>43490</v>
      </c>
      <c r="N20" s="164">
        <f t="shared" si="0"/>
        <v>43493</v>
      </c>
      <c r="O20" s="164">
        <f t="shared" si="0"/>
        <v>43494</v>
      </c>
      <c r="P20" s="164">
        <f t="shared" si="0"/>
        <v>43495</v>
      </c>
      <c r="Q20" s="164">
        <f t="shared" si="0"/>
        <v>43496</v>
      </c>
      <c r="R20" s="164">
        <f t="shared" si="0"/>
        <v>43497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8</v>
      </c>
      <c r="F22" s="162">
        <f t="shared" ca="1" si="1"/>
        <v>8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8</v>
      </c>
      <c r="F23" s="163">
        <f t="shared" ca="1" si="2"/>
        <v>0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>
      <c r="A24" s="167" t="s">
        <v>3</v>
      </c>
      <c r="B24" s="165"/>
      <c r="C24" s="165"/>
      <c r="D24" s="166"/>
      <c r="E24" s="163">
        <f ca="1">IF(E20&gt;TODAY(), #N/A, SUM($E23:E23))</f>
        <v>8</v>
      </c>
      <c r="F24" s="163">
        <f ca="1">IF(F20&gt;TODAY(), #N/A, SUM($E23:F23))</f>
        <v>8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>
      <c r="A25" s="167" t="s">
        <v>22</v>
      </c>
      <c r="B25" s="165"/>
      <c r="C25" s="165"/>
      <c r="D25" s="166"/>
      <c r="E25" s="163">
        <f t="shared" ref="E25:R25" ca="1" si="3">IF(E20&gt;TODAY(), #N/A, E22+E24)</f>
        <v>16</v>
      </c>
      <c r="F25" s="163">
        <f t="shared" ca="1" si="3"/>
        <v>16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>
        <f t="shared" ref="E27:R27" ca="1" si="4">IF(E20&gt;TODAY(), #N/A, E24/E19)</f>
        <v>8</v>
      </c>
      <c r="F27" s="168">
        <f t="shared" ca="1" si="4"/>
        <v>4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43481</v>
      </c>
      <c r="F28" s="169">
        <f t="shared" ca="1" si="5"/>
        <v>43483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43480</v>
      </c>
      <c r="F29" s="169">
        <f t="shared" ca="1" si="6"/>
        <v>43480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0</v>
      </c>
      <c r="F31" s="165">
        <f t="shared" ca="1" si="7"/>
        <v>0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>
      <c r="A32" s="167" t="s">
        <v>28</v>
      </c>
      <c r="B32" s="165"/>
      <c r="C32" s="165"/>
      <c r="D32" s="166"/>
      <c r="E32" s="170">
        <f t="shared" ref="E32:R32" ca="1" si="8">E$22-E$31+E$24-E$33</f>
        <v>16</v>
      </c>
      <c r="F32" s="170">
        <f t="shared" ca="1" si="8"/>
        <v>16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58</v>
      </c>
      <c r="F35" s="165">
        <f t="shared" ca="1" si="10"/>
        <v>58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1</v>
      </c>
      <c r="F36" s="165">
        <f t="shared" ca="1" si="11"/>
        <v>1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6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1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3" sqref="F3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9.1406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Wed</v>
      </c>
      <c r="E2" s="48">
        <f ca="1">TODAY()</f>
        <v>43481</v>
      </c>
    </row>
    <row r="3" spans="2:28" ht="13.5" thickBot="1">
      <c r="B3" s="49" t="s">
        <v>43</v>
      </c>
      <c r="C3" s="50"/>
      <c r="D3" s="51" t="str">
        <f>TEXT(E3,"ddd")</f>
        <v>Tue</v>
      </c>
      <c r="E3" s="52">
        <v>43480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43479</v>
      </c>
      <c r="J6" s="67">
        <f t="shared" ref="J6:O6" si="0">I6+1</f>
        <v>43480</v>
      </c>
      <c r="K6" s="67">
        <f t="shared" si="0"/>
        <v>43481</v>
      </c>
      <c r="L6" s="67">
        <f t="shared" si="0"/>
        <v>43482</v>
      </c>
      <c r="M6" s="67">
        <f t="shared" si="0"/>
        <v>43483</v>
      </c>
      <c r="N6" s="68">
        <f t="shared" si="0"/>
        <v>43484</v>
      </c>
      <c r="O6" s="68">
        <f t="shared" si="0"/>
        <v>43485</v>
      </c>
      <c r="P6" s="69">
        <f>I6+7</f>
        <v>43486</v>
      </c>
      <c r="Q6" s="67">
        <f t="shared" ref="Q6:V6" si="1">P6+1</f>
        <v>43487</v>
      </c>
      <c r="R6" s="67">
        <f t="shared" si="1"/>
        <v>43488</v>
      </c>
      <c r="S6" s="67">
        <f t="shared" si="1"/>
        <v>43489</v>
      </c>
      <c r="T6" s="67">
        <f t="shared" si="1"/>
        <v>43490</v>
      </c>
      <c r="U6" s="68">
        <f t="shared" si="1"/>
        <v>43491</v>
      </c>
      <c r="V6" s="68">
        <f t="shared" si="1"/>
        <v>43492</v>
      </c>
      <c r="W6" s="195"/>
      <c r="X6" s="196"/>
      <c r="Y6" s="196"/>
      <c r="Z6" s="196"/>
      <c r="AA6" s="196"/>
      <c r="AB6" s="197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>
      <c r="B8" s="78" t="s">
        <v>37</v>
      </c>
      <c r="C8" s="79">
        <f>SUM(G8:G25)</f>
        <v>5</v>
      </c>
      <c r="D8" s="80"/>
      <c r="E8" s="81" t="s">
        <v>134</v>
      </c>
      <c r="F8" s="82">
        <v>0.6</v>
      </c>
      <c r="G8" s="83">
        <f>SUMIF(Sprint!$F$4:$F$1855,E8,Sprint!$AX$4:$AX$1855)</f>
        <v>5</v>
      </c>
      <c r="H8" s="84"/>
      <c r="I8" s="90">
        <f t="shared" ref="I8:J18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38.4</v>
      </c>
      <c r="X8" s="199"/>
      <c r="Y8" s="199"/>
      <c r="Z8" s="199"/>
      <c r="AA8" s="199"/>
      <c r="AB8" s="200"/>
    </row>
    <row r="9" spans="2:28" ht="13.5" thickBot="1">
      <c r="B9" s="87" t="s">
        <v>38</v>
      </c>
      <c r="C9" s="79">
        <f ca="1">SUM(W8:AB25)</f>
        <v>38.4</v>
      </c>
      <c r="D9" s="88"/>
      <c r="E9" s="18"/>
      <c r="F9" s="89">
        <v>1</v>
      </c>
      <c r="G9" s="83">
        <f>SUMIF(Sprint!$F$4:$F$1855,E9,Sprint!$AX$4:$AX$1855)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198">
        <f t="shared" si="5"/>
        <v>0</v>
      </c>
      <c r="X9" s="199"/>
      <c r="Y9" s="199"/>
      <c r="Z9" s="199"/>
      <c r="AA9" s="199"/>
      <c r="AB9" s="200"/>
    </row>
    <row r="10" spans="2:28" ht="13.5" thickBot="1">
      <c r="B10" s="94" t="s">
        <v>39</v>
      </c>
      <c r="C10" s="95">
        <f ca="1">C8-C9</f>
        <v>-33.4</v>
      </c>
      <c r="D10" s="62"/>
      <c r="E10" s="18"/>
      <c r="F10" s="89">
        <v>0.3</v>
      </c>
      <c r="G10" s="83">
        <f>SUMIF(Sprint!$F$4:$F$1855,E10,Sprint!$AX$4:$AX$1855)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8">
        <f t="shared" si="5"/>
        <v>0</v>
      </c>
      <c r="X10" s="199"/>
      <c r="Y10" s="199"/>
      <c r="Z10" s="199"/>
      <c r="AA10" s="199"/>
      <c r="AB10" s="200"/>
    </row>
    <row r="11" spans="2:28" ht="13.5" thickBot="1">
      <c r="B11" s="96"/>
      <c r="D11" s="97"/>
      <c r="E11" s="18"/>
      <c r="F11" s="89">
        <v>1</v>
      </c>
      <c r="G11" s="83">
        <f>SUMIF(Sprint!$F$4:$F$1855,E11,Sprint!$AX$4:$AX$1855)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8">
        <f t="shared" si="5"/>
        <v>0</v>
      </c>
      <c r="X11" s="199"/>
      <c r="Y11" s="199"/>
      <c r="Z11" s="199"/>
      <c r="AA11" s="199"/>
      <c r="AB11" s="200"/>
    </row>
    <row r="12" spans="2:28" ht="13.5" thickBot="1">
      <c r="B12" s="96"/>
      <c r="D12" s="97"/>
      <c r="E12" s="18"/>
      <c r="F12" s="89"/>
      <c r="G12" s="83">
        <f>SUMIF(Sprint!$F$4:$F$1855,E12,Sprint!$AX$4:$AX$1855)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>
      <c r="B13" s="96"/>
      <c r="D13" s="98"/>
      <c r="E13" s="18"/>
      <c r="F13" s="89"/>
      <c r="G13" s="83">
        <f>SUMIF(Sprint!$F$4:$F$1855,E13,Sprint!$AX$4:$AX$1855)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>
      <c r="B14" s="96"/>
      <c r="D14" s="62"/>
      <c r="E14" s="18"/>
      <c r="F14" s="89"/>
      <c r="G14" s="83">
        <f>SUMIF(Sprint!$F$4:$F$1855,E14,Sprint!$AX$4:$AX$1855)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>
      <c r="B15" s="96"/>
      <c r="D15" s="62"/>
      <c r="E15" s="18"/>
      <c r="F15" s="89"/>
      <c r="G15" s="83">
        <f>SUMIF(Sprint!$F$4:$F$1855,E15,Sprint!$AX$4:$AX$1855)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>
      <c r="B16" s="96"/>
      <c r="D16" s="98"/>
      <c r="E16" s="18"/>
      <c r="F16" s="89"/>
      <c r="G16" s="83">
        <f>SUMIF(Sprint!$F$4:$F$1855,E16,Sprint!$AX$4:$AX$1855)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>
      <c r="B17" s="96"/>
      <c r="D17" s="98"/>
      <c r="E17" s="18"/>
      <c r="F17" s="89"/>
      <c r="G17" s="83">
        <f>SUMIF(Sprint!$F$4:$F$1855,E17,Sprint!$AX$4:$AX$1855)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>
      <c r="B18" s="96"/>
      <c r="D18" s="98"/>
      <c r="E18" s="18"/>
      <c r="F18" s="89"/>
      <c r="G18" s="83">
        <f>SUMIF(Sprint!$F$4:$F$1855,E18,Sprint!$AX$4:$AX$1855)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>
      <c r="B19" s="96"/>
      <c r="D19" s="98"/>
      <c r="E19" s="18"/>
      <c r="F19" s="89"/>
      <c r="G19" s="83">
        <f>SUMIF(Sprint!$F$4:$F$1855,E19,Sprint!$AX$4:$AX$1855)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>
      <c r="B20" s="96"/>
      <c r="D20" s="98"/>
      <c r="E20" s="18"/>
      <c r="F20" s="89"/>
      <c r="G20" s="83">
        <f>SUMIF(Sprint!$F$4:$F$1855,E20,Sprint!$AX$4:$AX$1855)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>
      <c r="B21" s="96"/>
      <c r="C21" s="100"/>
      <c r="D21" s="98"/>
      <c r="E21" s="18"/>
      <c r="F21" s="89"/>
      <c r="G21" s="83">
        <f>SUMIF(Sprint!$F$4:$F$1855,E21,Sprint!$AX$4:$AX$1855)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>
      <c r="B22" s="70"/>
      <c r="C22" s="101"/>
      <c r="D22" s="98"/>
      <c r="E22" s="18"/>
      <c r="F22" s="102"/>
      <c r="G22" s="83">
        <f>SUMIF(Sprint!$F$4:$F$1855,E22,Sprint!$AX$4:$AX$1855)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>
      <c r="B23" s="70"/>
      <c r="D23" s="98"/>
      <c r="E23" s="18"/>
      <c r="F23" s="102"/>
      <c r="G23" s="83">
        <f>SUMIF(Sprint!$F$4:$F$1855,E23,Sprint!$AX$4:$AX$1855)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>
      <c r="B24" s="96"/>
      <c r="D24" s="98"/>
      <c r="E24" s="18"/>
      <c r="F24" s="102"/>
      <c r="G24" s="83">
        <f>SUMIF(Sprint!$F$4:$F$1855,E24,Sprint!$AX$4:$AX$1855)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>
      <c r="B25" s="96"/>
      <c r="D25" s="98"/>
      <c r="E25" s="103"/>
      <c r="F25" s="104"/>
      <c r="G25" s="83">
        <f>SUMIF(Sprint!$F$4:$F$1855,E25,Sprint!$AX$4:$AX$1855)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tabSelected="1" workbookViewId="0">
      <selection activeCell="H15" sqref="H15"/>
    </sheetView>
  </sheetViews>
  <sheetFormatPr defaultRowHeight="12.75"/>
  <cols>
    <col min="1" max="1" width="2.7109375" style="43" customWidth="1"/>
    <col min="2" max="2" width="18.42578125" style="43" bestFit="1" customWidth="1"/>
    <col min="3" max="3" width="16.7109375" style="43" bestFit="1" customWidth="1"/>
    <col min="4" max="4" width="14.140625" style="43" bestFit="1" customWidth="1"/>
    <col min="5" max="6" width="15.140625" style="43" bestFit="1" customWidth="1"/>
    <col min="7" max="7" width="25.7109375" style="43" bestFit="1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  <c r="C4" s="43" t="s">
        <v>156</v>
      </c>
    </row>
    <row r="5" spans="2:8" ht="13.5" thickBot="1"/>
    <row r="6" spans="2:8" ht="14.25" thickTop="1" thickBot="1">
      <c r="B6" s="129" t="s">
        <v>41</v>
      </c>
      <c r="C6" s="130" t="s">
        <v>95</v>
      </c>
      <c r="D6" s="131" t="s">
        <v>91</v>
      </c>
      <c r="E6" s="132" t="s">
        <v>94</v>
      </c>
      <c r="F6" s="133" t="s">
        <v>93</v>
      </c>
      <c r="G6" s="133" t="s">
        <v>97</v>
      </c>
      <c r="H6" s="134" t="s">
        <v>96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129</v>
      </c>
      <c r="D8" s="141" t="s">
        <v>130</v>
      </c>
      <c r="E8" s="141"/>
      <c r="F8" s="142"/>
      <c r="G8" s="141"/>
      <c r="H8" s="141"/>
    </row>
    <row r="9" spans="2:8">
      <c r="C9" s="140" t="s">
        <v>131</v>
      </c>
      <c r="D9" s="141" t="s">
        <v>132</v>
      </c>
      <c r="E9" s="141"/>
      <c r="F9" s="142"/>
      <c r="G9" s="141"/>
      <c r="H9" s="141"/>
    </row>
    <row r="10" spans="2:8" ht="11.25" customHeight="1">
      <c r="C10" s="140" t="s">
        <v>133</v>
      </c>
      <c r="D10" s="141" t="s">
        <v>134</v>
      </c>
      <c r="E10" s="141"/>
      <c r="F10" s="142"/>
      <c r="G10" s="141"/>
      <c r="H10" s="141"/>
    </row>
    <row r="11" spans="2:8">
      <c r="C11" s="140" t="s">
        <v>135</v>
      </c>
      <c r="D11" s="141" t="s">
        <v>136</v>
      </c>
      <c r="E11" s="141"/>
      <c r="F11" s="142"/>
      <c r="G11" s="141"/>
      <c r="H11" s="141"/>
    </row>
    <row r="12" spans="2:8">
      <c r="C12" s="140" t="s">
        <v>137</v>
      </c>
      <c r="D12" s="141" t="s">
        <v>138</v>
      </c>
      <c r="E12" s="141"/>
      <c r="F12" s="142"/>
      <c r="G12" s="141"/>
      <c r="H12" s="141"/>
    </row>
    <row r="13" spans="2:8">
      <c r="C13" s="140" t="s">
        <v>139</v>
      </c>
      <c r="D13" s="141" t="s">
        <v>140</v>
      </c>
      <c r="E13" s="141"/>
      <c r="F13" s="142"/>
      <c r="G13" s="141"/>
      <c r="H13" s="141"/>
    </row>
    <row r="14" spans="2:8">
      <c r="C14" s="140" t="s">
        <v>141</v>
      </c>
      <c r="D14" s="141" t="s">
        <v>141</v>
      </c>
      <c r="E14" s="141"/>
      <c r="F14" s="142"/>
      <c r="G14" s="141"/>
      <c r="H14" s="141"/>
    </row>
    <row r="15" spans="2:8">
      <c r="C15" s="140" t="s">
        <v>142</v>
      </c>
      <c r="D15" s="141" t="s">
        <v>142</v>
      </c>
      <c r="E15" s="141">
        <v>9658553039</v>
      </c>
      <c r="F15" s="142">
        <v>9658553039</v>
      </c>
      <c r="G15" s="204" t="s">
        <v>157</v>
      </c>
      <c r="H15" s="141" t="s">
        <v>158</v>
      </c>
    </row>
    <row r="16" spans="2:8">
      <c r="C16" s="140" t="s">
        <v>143</v>
      </c>
      <c r="D16" s="141" t="s">
        <v>143</v>
      </c>
      <c r="E16" s="141"/>
      <c r="F16" s="142"/>
      <c r="G16" s="141"/>
      <c r="H16" s="141"/>
    </row>
    <row r="17" spans="3:8">
      <c r="C17" s="140" t="s">
        <v>144</v>
      </c>
      <c r="D17" s="141" t="s">
        <v>144</v>
      </c>
      <c r="E17" s="141"/>
      <c r="F17" s="142"/>
      <c r="G17" s="141"/>
      <c r="H17" s="141"/>
    </row>
    <row r="18" spans="3:8">
      <c r="C18" s="140" t="s">
        <v>145</v>
      </c>
      <c r="D18" s="141" t="s">
        <v>145</v>
      </c>
      <c r="E18" s="141"/>
      <c r="F18" s="142"/>
      <c r="G18" s="141"/>
      <c r="H18" s="141"/>
    </row>
    <row r="19" spans="3:8">
      <c r="C19" s="140" t="s">
        <v>146</v>
      </c>
      <c r="D19" s="141" t="s">
        <v>146</v>
      </c>
      <c r="E19" s="141"/>
      <c r="F19" s="142"/>
      <c r="G19" s="141"/>
      <c r="H19" s="141"/>
    </row>
    <row r="20" spans="3:8">
      <c r="C20" s="140" t="s">
        <v>147</v>
      </c>
      <c r="D20" s="141" t="s">
        <v>147</v>
      </c>
      <c r="E20" s="141"/>
      <c r="F20" s="142"/>
      <c r="G20" s="141"/>
      <c r="H20" s="141"/>
    </row>
    <row r="21" spans="3:8">
      <c r="C21" s="140" t="s">
        <v>148</v>
      </c>
      <c r="D21" s="141" t="s">
        <v>148</v>
      </c>
      <c r="E21" s="141"/>
      <c r="F21" s="142"/>
      <c r="G21" s="141"/>
      <c r="H21" s="141"/>
    </row>
    <row r="22" spans="3:8">
      <c r="C22" s="140" t="s">
        <v>149</v>
      </c>
      <c r="D22" s="141" t="s">
        <v>149</v>
      </c>
      <c r="E22" s="141"/>
      <c r="F22" s="142"/>
      <c r="G22" s="141"/>
      <c r="H22" s="141"/>
    </row>
    <row r="23" spans="3:8">
      <c r="C23" s="140" t="s">
        <v>150</v>
      </c>
      <c r="D23" s="141" t="s">
        <v>150</v>
      </c>
      <c r="E23" s="141"/>
      <c r="F23" s="142"/>
      <c r="G23" s="141"/>
      <c r="H23" s="141"/>
    </row>
    <row r="24" spans="3:8">
      <c r="C24" s="140" t="s">
        <v>151</v>
      </c>
      <c r="D24" s="141" t="s">
        <v>151</v>
      </c>
      <c r="E24" s="141"/>
      <c r="F24" s="142"/>
      <c r="G24" s="141"/>
      <c r="H24" s="141"/>
    </row>
    <row r="25" spans="3:8" ht="13.5" thickBot="1">
      <c r="C25" s="143" t="s">
        <v>152</v>
      </c>
      <c r="D25" s="144" t="s">
        <v>152</v>
      </c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hyperlinks>
    <hyperlink ref="G15" r:id="rId1"/>
  </hyperlinks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C11" sqref="C11"/>
    </sheetView>
  </sheetViews>
  <sheetFormatPr defaultRowHeight="12.75"/>
  <cols>
    <col min="1" max="1" width="21.5703125" bestFit="1" customWidth="1"/>
    <col min="2" max="2" width="6.7109375" bestFit="1" customWidth="1"/>
    <col min="3" max="3" width="8" customWidth="1"/>
  </cols>
  <sheetData>
    <row r="1" spans="1:3" ht="15">
      <c r="A1" s="172" t="s">
        <v>100</v>
      </c>
      <c r="B1" s="173"/>
    </row>
    <row r="2" spans="1:3" ht="15">
      <c r="A2" s="174" t="s">
        <v>101</v>
      </c>
      <c r="B2" s="175">
        <f>COUNTIF(Sprint!$A$4:$A$93, "Feature")</f>
        <v>1</v>
      </c>
      <c r="C2" s="181">
        <f>B2/$B$6</f>
        <v>1</v>
      </c>
    </row>
    <row r="3" spans="1:3" ht="15">
      <c r="A3" s="174" t="s">
        <v>155</v>
      </c>
      <c r="B3" s="175">
        <f>COUNTIF(Sprint!$A$4:$A$93, "Tax")</f>
        <v>0</v>
      </c>
      <c r="C3" s="181">
        <f t="shared" ref="C3:C5" si="0">B3/$B$6</f>
        <v>0</v>
      </c>
    </row>
    <row r="4" spans="1:3" ht="15">
      <c r="A4" s="174" t="s">
        <v>102</v>
      </c>
      <c r="B4" s="175">
        <f>COUNTIF(Sprint!$A$4:$A$93, "Precondition")</f>
        <v>0</v>
      </c>
      <c r="C4" s="181">
        <f t="shared" si="0"/>
        <v>0</v>
      </c>
    </row>
    <row r="5" spans="1:3" ht="15">
      <c r="A5" s="174" t="s">
        <v>103</v>
      </c>
      <c r="B5" s="175">
        <f>COUNTIF(Sprint!$A$4:$A$93, "Spike")</f>
        <v>0</v>
      </c>
      <c r="C5" s="181">
        <f t="shared" si="0"/>
        <v>0</v>
      </c>
    </row>
    <row r="6" spans="1:3" ht="15">
      <c r="A6" s="176" t="s">
        <v>123</v>
      </c>
      <c r="B6" s="182">
        <f>SUM(B2:B5)</f>
        <v>1</v>
      </c>
      <c r="C6" s="183">
        <f>SUM(C2:C5)</f>
        <v>1</v>
      </c>
    </row>
    <row r="7" spans="1:3" ht="15">
      <c r="A7" s="175"/>
      <c r="B7" s="175"/>
    </row>
    <row r="8" spans="1:3" ht="15">
      <c r="A8" s="176" t="s">
        <v>104</v>
      </c>
      <c r="B8" s="175"/>
    </row>
    <row r="9" spans="1:3" ht="15">
      <c r="A9" s="174" t="s">
        <v>105</v>
      </c>
      <c r="B9" s="175">
        <f>COUNTIF(Sprint!$B$4:$B$210, "Data Model")</f>
        <v>0</v>
      </c>
      <c r="C9" s="181">
        <f>B9/$B$25</f>
        <v>0</v>
      </c>
    </row>
    <row r="10" spans="1:3" ht="15">
      <c r="A10" s="174" t="s">
        <v>106</v>
      </c>
      <c r="B10" s="175">
        <f>COUNTIF(Sprint!$B$4:$B$210, "Integration Model")</f>
        <v>0</v>
      </c>
      <c r="C10" s="181">
        <f>B10/$B$25</f>
        <v>0</v>
      </c>
    </row>
    <row r="11" spans="1:3" ht="15">
      <c r="A11" s="174" t="s">
        <v>107</v>
      </c>
      <c r="B11" s="175">
        <f>COUNTIF(Sprint!$B$4:$B$210, "System Frameworks")</f>
        <v>0</v>
      </c>
      <c r="C11" s="181">
        <f>B11/$B$25</f>
        <v>0</v>
      </c>
    </row>
    <row r="12" spans="1:3" ht="15">
      <c r="A12" s="174" t="s">
        <v>108</v>
      </c>
      <c r="B12" s="175">
        <f>COUNTIF(Sprint!$B$4:$B$210, "Data Conversions")</f>
        <v>0</v>
      </c>
      <c r="C12" s="181">
        <f t="shared" ref="C12:C24" si="1">B12/$B$25</f>
        <v>0</v>
      </c>
    </row>
    <row r="13" spans="1:3" ht="15">
      <c r="A13" s="174" t="s">
        <v>109</v>
      </c>
      <c r="B13" s="175">
        <f>COUNTIF(Sprint!$B$4:$B$210, "Security")</f>
        <v>0</v>
      </c>
      <c r="C13" s="181">
        <f t="shared" si="1"/>
        <v>0</v>
      </c>
    </row>
    <row r="14" spans="1:3" ht="15">
      <c r="A14" s="174" t="s">
        <v>110</v>
      </c>
      <c r="B14" s="175">
        <f>COUNTIF(Sprint!$B$4:$B$210, "Cash Payment Tracking")</f>
        <v>0</v>
      </c>
      <c r="C14" s="181">
        <f t="shared" si="1"/>
        <v>0</v>
      </c>
    </row>
    <row r="15" spans="1:3" ht="15">
      <c r="A15" s="174" t="s">
        <v>111</v>
      </c>
      <c r="B15" s="175">
        <f>COUNTIF(Sprint!$B$4:$B$210, "Views")</f>
        <v>0</v>
      </c>
      <c r="C15" s="181">
        <f t="shared" si="1"/>
        <v>0</v>
      </c>
    </row>
    <row r="16" spans="1:3" ht="15">
      <c r="A16" s="174" t="s">
        <v>112</v>
      </c>
      <c r="B16" s="175">
        <f>COUNTIF(Sprint!$B$4:$B$210, "Lookups")</f>
        <v>0</v>
      </c>
      <c r="C16" s="181">
        <f t="shared" si="1"/>
        <v>0</v>
      </c>
    </row>
    <row r="17" spans="1:3" ht="15">
      <c r="A17" s="174" t="s">
        <v>113</v>
      </c>
      <c r="B17" s="175">
        <f>COUNTIF(Sprint!$B$4:$B$210, "Detail screens")</f>
        <v>0</v>
      </c>
      <c r="C17" s="181">
        <f t="shared" si="1"/>
        <v>0</v>
      </c>
    </row>
    <row r="18" spans="1:3" ht="15">
      <c r="A18" s="174" t="s">
        <v>114</v>
      </c>
      <c r="B18" s="175">
        <f>COUNTIF(Sprint!$B$4:$B$210, "Notifications")</f>
        <v>1</v>
      </c>
      <c r="C18" s="181">
        <f t="shared" si="1"/>
        <v>1</v>
      </c>
    </row>
    <row r="19" spans="1:3" ht="15">
      <c r="A19" s="174" t="s">
        <v>115</v>
      </c>
      <c r="B19" s="175">
        <f>COUNTIF(Sprint!$B$4:$B$210, "Reports")</f>
        <v>0</v>
      </c>
      <c r="C19" s="181">
        <f t="shared" si="1"/>
        <v>0</v>
      </c>
    </row>
    <row r="20" spans="1:3" ht="15">
      <c r="A20" s="174" t="s">
        <v>116</v>
      </c>
      <c r="B20" s="175">
        <f>COUNTIF(Sprint!$B$4:$B$210, "Installation Package")</f>
        <v>0</v>
      </c>
      <c r="C20" s="181">
        <f t="shared" si="1"/>
        <v>0</v>
      </c>
    </row>
    <row r="21" spans="1:3" ht="15">
      <c r="A21" s="174" t="s">
        <v>117</v>
      </c>
      <c r="B21" s="175">
        <f>COUNTIF(Sprint!$B$4:$B$210, "Deployment")</f>
        <v>0</v>
      </c>
      <c r="C21" s="181">
        <f t="shared" si="1"/>
        <v>0</v>
      </c>
    </row>
    <row r="22" spans="1:3" ht="15">
      <c r="A22" s="174" t="s">
        <v>118</v>
      </c>
      <c r="B22" s="175">
        <f>COUNTIF(Sprint!$B$4:$B$210, "Documentation")</f>
        <v>0</v>
      </c>
      <c r="C22" s="181">
        <f t="shared" si="1"/>
        <v>0</v>
      </c>
    </row>
    <row r="23" spans="1:3" ht="15">
      <c r="A23" s="174" t="s">
        <v>119</v>
      </c>
      <c r="B23" s="175">
        <f>COUNTIF(Sprint!$B$4:$B$210, "Testing")</f>
        <v>0</v>
      </c>
      <c r="C23" s="181">
        <f t="shared" si="1"/>
        <v>0</v>
      </c>
    </row>
    <row r="24" spans="1:3" ht="15">
      <c r="A24" s="174" t="s">
        <v>120</v>
      </c>
      <c r="B24" s="175">
        <f>COUNTIF(Sprint!$B$4:$B$210, "Project Mgt")</f>
        <v>0</v>
      </c>
      <c r="C24" s="181">
        <f t="shared" si="1"/>
        <v>0</v>
      </c>
    </row>
    <row r="25" spans="1:3" ht="15">
      <c r="A25" s="176" t="s">
        <v>123</v>
      </c>
      <c r="B25" s="180">
        <f>SUM(B9:B24)</f>
        <v>1</v>
      </c>
      <c r="C25" s="181">
        <f>SUM(C9:C24)</f>
        <v>1</v>
      </c>
    </row>
    <row r="27" spans="1:3" ht="15">
      <c r="A27" s="179" t="s">
        <v>122</v>
      </c>
    </row>
    <row r="28" spans="1:3" ht="15">
      <c r="A28" s="174" t="s">
        <v>124</v>
      </c>
      <c r="B28" s="175">
        <f ca="1">COUNTIF(Sprint!$G$4:$G$93, "Complete")</f>
        <v>0</v>
      </c>
      <c r="C28" s="181">
        <f ca="1">B28/$B$33</f>
        <v>0</v>
      </c>
    </row>
    <row r="29" spans="1:3" ht="15">
      <c r="A29" s="174" t="s">
        <v>125</v>
      </c>
      <c r="B29" s="175">
        <f ca="1">COUNTIF(Sprint!$G$4:$G$93, "In Progress")</f>
        <v>1</v>
      </c>
      <c r="C29" s="181">
        <f t="shared" ref="C29:C32" ca="1" si="2">B29/$B$33</f>
        <v>1.6949152542372881E-2</v>
      </c>
    </row>
    <row r="30" spans="1:3" ht="15">
      <c r="A30" s="174" t="s">
        <v>126</v>
      </c>
      <c r="B30" s="175">
        <f ca="1">COUNTIF(Sprint!$G$4:$G$93, "Pending")</f>
        <v>58</v>
      </c>
      <c r="C30" s="181">
        <f t="shared" ca="1" si="2"/>
        <v>0.98305084745762716</v>
      </c>
    </row>
    <row r="31" spans="1:3" ht="15">
      <c r="A31" s="174" t="s">
        <v>121</v>
      </c>
      <c r="B31" s="175">
        <f ca="1">COUNTIF(Sprint!$G$4:$G$93, "Postponed")</f>
        <v>0</v>
      </c>
      <c r="C31" s="181">
        <f t="shared" ca="1" si="2"/>
        <v>0</v>
      </c>
    </row>
    <row r="32" spans="1:3" ht="15">
      <c r="A32" s="179" t="s">
        <v>127</v>
      </c>
      <c r="B32" s="175">
        <f ca="1">COUNTIF(Sprint!$G$4:$G$93, "Cancelled")</f>
        <v>0</v>
      </c>
      <c r="C32" s="181">
        <f t="shared" ca="1" si="2"/>
        <v>0</v>
      </c>
    </row>
    <row r="33" spans="1:3" ht="15">
      <c r="A33" s="184" t="s">
        <v>123</v>
      </c>
      <c r="B33" s="185">
        <f ca="1">SUM(B28:B32)</f>
        <v>59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Luminous</cp:lastModifiedBy>
  <cp:revision>1</cp:revision>
  <cp:lastPrinted>2005-08-15T09:18:22Z</cp:lastPrinted>
  <dcterms:created xsi:type="dcterms:W3CDTF">2005-01-26T21:50:47Z</dcterms:created>
  <dcterms:modified xsi:type="dcterms:W3CDTF">2019-01-16T07:24:41Z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